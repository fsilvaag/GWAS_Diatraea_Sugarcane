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nidades compartidas\SAM_Diatraea (articulo Socolen)\Frontiers_Paper\3.4.Revisiones\03.Phenotypic_Analysis\"/>
    </mc:Choice>
  </mc:AlternateContent>
  <xr:revisionPtr revIDLastSave="0" documentId="13_ncr:1_{0FB31FEA-295A-45BD-A512-416EBAD8E508}" xr6:coauthVersionLast="47" xr6:coauthVersionMax="47" xr10:uidLastSave="{00000000-0000-0000-0000-000000000000}"/>
  <bookViews>
    <workbookView xWindow="-96" yWindow="-96" windowWidth="23232" windowHeight="13872" activeTab="1" xr2:uid="{629DBB67-9A61-4CD3-9991-B4D2E4FAC86D}"/>
  </bookViews>
  <sheets>
    <sheet name="FENOTIPOS_GWAS_BINOMIAL_DSI" sheetId="1" r:id="rId1"/>
    <sheet name="Hoja2" sheetId="5" r:id="rId2"/>
  </sheets>
  <definedNames>
    <definedName name="_xlnm._FilterDatabase" localSheetId="0" hidden="1">FENOTIPOS_GWAS_BINOMIAL_DSI!$A$1:$X$351</definedName>
  </definedNames>
  <calcPr calcId="191029"/>
  <pivotCaches>
    <pivotCache cacheId="29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Q3" i="1"/>
  <c r="P4" i="1"/>
  <c r="Q4" i="1"/>
  <c r="P5" i="1"/>
  <c r="Q5" i="1"/>
  <c r="P6" i="1"/>
  <c r="Q6" i="1"/>
  <c r="P7" i="1"/>
  <c r="Q7" i="1"/>
  <c r="P8" i="1"/>
  <c r="Q8" i="1"/>
  <c r="P9" i="1"/>
  <c r="Q9" i="1"/>
  <c r="P10" i="1"/>
  <c r="Q10" i="1"/>
  <c r="P11" i="1"/>
  <c r="Q11" i="1"/>
  <c r="P12" i="1"/>
  <c r="Q12" i="1"/>
  <c r="P13" i="1"/>
  <c r="Q13" i="1"/>
  <c r="P14" i="1"/>
  <c r="Q14" i="1"/>
  <c r="P15" i="1"/>
  <c r="Q15" i="1"/>
  <c r="P16" i="1"/>
  <c r="Q16" i="1"/>
  <c r="P17" i="1"/>
  <c r="Q17" i="1"/>
  <c r="P18" i="1"/>
  <c r="Q18" i="1"/>
  <c r="P19" i="1"/>
  <c r="Q19" i="1"/>
  <c r="P20" i="1"/>
  <c r="Q20" i="1"/>
  <c r="P21" i="1"/>
  <c r="Q21" i="1"/>
  <c r="P22" i="1"/>
  <c r="Q22" i="1"/>
  <c r="P23" i="1"/>
  <c r="Q23" i="1"/>
  <c r="P24" i="1"/>
  <c r="Q24" i="1"/>
  <c r="P25" i="1"/>
  <c r="Q25" i="1"/>
  <c r="P26" i="1"/>
  <c r="Q26" i="1"/>
  <c r="P27" i="1"/>
  <c r="Q27" i="1"/>
  <c r="P28" i="1"/>
  <c r="Q28" i="1"/>
  <c r="P29" i="1"/>
  <c r="Q29" i="1"/>
  <c r="P30" i="1"/>
  <c r="Q30" i="1"/>
  <c r="P31" i="1"/>
  <c r="Q31" i="1"/>
  <c r="P32" i="1"/>
  <c r="Q32" i="1"/>
  <c r="P33" i="1"/>
  <c r="Q33" i="1"/>
  <c r="P34" i="1"/>
  <c r="Q34" i="1"/>
  <c r="P35" i="1"/>
  <c r="Q35" i="1"/>
  <c r="P36" i="1"/>
  <c r="Q36" i="1"/>
  <c r="P37" i="1"/>
  <c r="Q37" i="1"/>
  <c r="P38" i="1"/>
  <c r="Q38" i="1"/>
  <c r="P39" i="1"/>
  <c r="Q39" i="1"/>
  <c r="P40" i="1"/>
  <c r="Q40" i="1"/>
  <c r="P41" i="1"/>
  <c r="Q41" i="1"/>
  <c r="P42" i="1"/>
  <c r="Q42" i="1"/>
  <c r="P43" i="1"/>
  <c r="Q43" i="1"/>
  <c r="P44" i="1"/>
  <c r="Q44" i="1"/>
  <c r="P45" i="1"/>
  <c r="Q45" i="1"/>
  <c r="P46" i="1"/>
  <c r="Q46" i="1"/>
  <c r="P47" i="1"/>
  <c r="Q47" i="1"/>
  <c r="P48" i="1"/>
  <c r="Q48" i="1"/>
  <c r="P49" i="1"/>
  <c r="Q49" i="1"/>
  <c r="P50" i="1"/>
  <c r="Q50" i="1"/>
  <c r="P51" i="1"/>
  <c r="Q51" i="1"/>
  <c r="P52" i="1"/>
  <c r="Q52" i="1"/>
  <c r="P53" i="1"/>
  <c r="Q53" i="1"/>
  <c r="P54" i="1"/>
  <c r="Q54" i="1"/>
  <c r="P55" i="1"/>
  <c r="Q55" i="1"/>
  <c r="P56" i="1"/>
  <c r="Q56" i="1"/>
  <c r="P57" i="1"/>
  <c r="Q57" i="1"/>
  <c r="P58" i="1"/>
  <c r="Q58" i="1"/>
  <c r="P59" i="1"/>
  <c r="Q59" i="1"/>
  <c r="P60" i="1"/>
  <c r="Q60" i="1"/>
  <c r="P61" i="1"/>
  <c r="Q61" i="1"/>
  <c r="P62" i="1"/>
  <c r="Q62" i="1"/>
  <c r="P63" i="1"/>
  <c r="Q63" i="1"/>
  <c r="P64" i="1"/>
  <c r="Q64" i="1"/>
  <c r="P65" i="1"/>
  <c r="Q65" i="1"/>
  <c r="P66" i="1"/>
  <c r="Q66" i="1"/>
  <c r="P67" i="1"/>
  <c r="Q67" i="1"/>
  <c r="P68" i="1"/>
  <c r="Q68" i="1"/>
  <c r="P69" i="1"/>
  <c r="Q69" i="1"/>
  <c r="P70" i="1"/>
  <c r="Q70" i="1"/>
  <c r="P71" i="1"/>
  <c r="Q71" i="1"/>
  <c r="P72" i="1"/>
  <c r="Q72" i="1"/>
  <c r="P73" i="1"/>
  <c r="Q73" i="1"/>
  <c r="P74" i="1"/>
  <c r="Q74" i="1"/>
  <c r="P75" i="1"/>
  <c r="Q75" i="1"/>
  <c r="P76" i="1"/>
  <c r="Q76" i="1"/>
  <c r="P77" i="1"/>
  <c r="Q77" i="1"/>
  <c r="P78" i="1"/>
  <c r="Q78" i="1"/>
  <c r="P79" i="1"/>
  <c r="Q79" i="1"/>
  <c r="P80" i="1"/>
  <c r="Q80" i="1"/>
  <c r="P81" i="1"/>
  <c r="Q81" i="1"/>
  <c r="P82" i="1"/>
  <c r="Q82" i="1"/>
  <c r="P83" i="1"/>
  <c r="Q83" i="1"/>
  <c r="P84" i="1"/>
  <c r="Q84" i="1"/>
  <c r="P85" i="1"/>
  <c r="Q85" i="1"/>
  <c r="P86" i="1"/>
  <c r="Q86" i="1"/>
  <c r="P87" i="1"/>
  <c r="Q87" i="1"/>
  <c r="P88" i="1"/>
  <c r="Q88" i="1"/>
  <c r="P89" i="1"/>
  <c r="Q89" i="1"/>
  <c r="P90" i="1"/>
  <c r="Q90" i="1"/>
  <c r="P91" i="1"/>
  <c r="Q91" i="1"/>
  <c r="P92" i="1"/>
  <c r="Q92" i="1"/>
  <c r="P93" i="1"/>
  <c r="Q93" i="1"/>
  <c r="P94" i="1"/>
  <c r="Q94" i="1"/>
  <c r="P95" i="1"/>
  <c r="Q95" i="1"/>
  <c r="P96" i="1"/>
  <c r="Q96" i="1"/>
  <c r="P97" i="1"/>
  <c r="Q97" i="1"/>
  <c r="P98" i="1"/>
  <c r="Q98" i="1"/>
  <c r="P99" i="1"/>
  <c r="Q99" i="1"/>
  <c r="P100" i="1"/>
  <c r="Q100" i="1"/>
  <c r="P101" i="1"/>
  <c r="Q101" i="1"/>
  <c r="P102" i="1"/>
  <c r="Q102" i="1"/>
  <c r="P103" i="1"/>
  <c r="Q103" i="1"/>
  <c r="P104" i="1"/>
  <c r="Q104" i="1"/>
  <c r="P105" i="1"/>
  <c r="Q105" i="1"/>
  <c r="P106" i="1"/>
  <c r="Q106" i="1"/>
  <c r="P107" i="1"/>
  <c r="Q107" i="1"/>
  <c r="P108" i="1"/>
  <c r="Q108" i="1"/>
  <c r="P109" i="1"/>
  <c r="Q109" i="1"/>
  <c r="P110" i="1"/>
  <c r="Q110" i="1"/>
  <c r="P111" i="1"/>
  <c r="Q111" i="1"/>
  <c r="P112" i="1"/>
  <c r="Q112" i="1"/>
  <c r="P113" i="1"/>
  <c r="Q113" i="1"/>
  <c r="P114" i="1"/>
  <c r="Q114" i="1"/>
  <c r="P115" i="1"/>
  <c r="Q115" i="1"/>
  <c r="P116" i="1"/>
  <c r="Q116" i="1"/>
  <c r="P117" i="1"/>
  <c r="Q117" i="1"/>
  <c r="P118" i="1"/>
  <c r="Q118" i="1"/>
  <c r="P119" i="1"/>
  <c r="Q119" i="1"/>
  <c r="P120" i="1"/>
  <c r="Q120" i="1"/>
  <c r="P121" i="1"/>
  <c r="Q121" i="1" s="1"/>
  <c r="P122" i="1"/>
  <c r="Q122" i="1"/>
  <c r="P123" i="1"/>
  <c r="Q123" i="1"/>
  <c r="P124" i="1"/>
  <c r="Q124" i="1"/>
  <c r="P125" i="1"/>
  <c r="Q125" i="1"/>
  <c r="P126" i="1"/>
  <c r="Q126" i="1"/>
  <c r="P127" i="1"/>
  <c r="Q127" i="1"/>
  <c r="P128" i="1"/>
  <c r="Q128" i="1"/>
  <c r="P129" i="1"/>
  <c r="Q129" i="1"/>
  <c r="P130" i="1"/>
  <c r="Q130" i="1" s="1"/>
  <c r="P131" i="1"/>
  <c r="Q131" i="1" s="1"/>
  <c r="P132" i="1"/>
  <c r="Q132" i="1"/>
  <c r="P133" i="1"/>
  <c r="Q133" i="1"/>
  <c r="P134" i="1"/>
  <c r="Q134" i="1"/>
  <c r="P135" i="1"/>
  <c r="Q135" i="1"/>
  <c r="P136" i="1"/>
  <c r="Q136" i="1"/>
  <c r="P137" i="1"/>
  <c r="Q137" i="1"/>
  <c r="P138" i="1"/>
  <c r="Q138" i="1" s="1"/>
  <c r="P139" i="1"/>
  <c r="Q139" i="1" s="1"/>
  <c r="P140" i="1"/>
  <c r="Q140" i="1" s="1"/>
  <c r="P141" i="1"/>
  <c r="Q141" i="1"/>
  <c r="P142" i="1"/>
  <c r="Q142" i="1"/>
  <c r="P143" i="1"/>
  <c r="Q143" i="1" s="1"/>
  <c r="P144" i="1"/>
  <c r="Q144" i="1" s="1"/>
  <c r="P145" i="1"/>
  <c r="Q145" i="1" s="1"/>
  <c r="P146" i="1"/>
  <c r="Q146" i="1" s="1"/>
  <c r="P147" i="1"/>
  <c r="Q147" i="1"/>
  <c r="P148" i="1"/>
  <c r="Q148" i="1"/>
  <c r="P149" i="1"/>
  <c r="Q149" i="1"/>
  <c r="P150" i="1"/>
  <c r="Q150" i="1"/>
  <c r="P151" i="1"/>
  <c r="Q151" i="1"/>
  <c r="P152" i="1"/>
  <c r="Q152" i="1"/>
  <c r="P153" i="1"/>
  <c r="Q153" i="1"/>
  <c r="P154" i="1"/>
  <c r="Q154" i="1" s="1"/>
  <c r="P155" i="1"/>
  <c r="Q155" i="1"/>
  <c r="P156" i="1"/>
  <c r="Q156" i="1"/>
  <c r="P157" i="1"/>
  <c r="Q157" i="1"/>
  <c r="P158" i="1"/>
  <c r="Q158" i="1"/>
  <c r="P159" i="1"/>
  <c r="Q159" i="1"/>
  <c r="P160" i="1"/>
  <c r="Q160" i="1" s="1"/>
  <c r="P161" i="1"/>
  <c r="Q161" i="1" s="1"/>
  <c r="P162" i="1"/>
  <c r="Q162" i="1"/>
  <c r="P163" i="1"/>
  <c r="Q163" i="1"/>
  <c r="P164" i="1"/>
  <c r="Q164" i="1"/>
  <c r="P165" i="1"/>
  <c r="Q165" i="1"/>
  <c r="P166" i="1"/>
  <c r="Q166" i="1"/>
  <c r="P167" i="1"/>
  <c r="Q167" i="1"/>
  <c r="P168" i="1"/>
  <c r="Q168" i="1"/>
  <c r="P169" i="1"/>
  <c r="Q169" i="1"/>
  <c r="P170" i="1"/>
  <c r="Q170" i="1"/>
  <c r="P171" i="1"/>
  <c r="Q171" i="1"/>
  <c r="P172" i="1"/>
  <c r="Q172" i="1" s="1"/>
  <c r="P173" i="1"/>
  <c r="Q173" i="1"/>
  <c r="P174" i="1"/>
  <c r="Q174" i="1"/>
  <c r="P175" i="1"/>
  <c r="Q175" i="1"/>
  <c r="P176" i="1"/>
  <c r="Q176" i="1"/>
  <c r="P177" i="1"/>
  <c r="Q177" i="1" s="1"/>
  <c r="P178" i="1"/>
  <c r="Q178" i="1"/>
  <c r="P179" i="1"/>
  <c r="Q179" i="1"/>
  <c r="P180" i="1"/>
  <c r="Q180" i="1"/>
  <c r="P181" i="1"/>
  <c r="Q181" i="1"/>
  <c r="P182" i="1"/>
  <c r="Q182" i="1"/>
  <c r="P183" i="1"/>
  <c r="Q183" i="1"/>
  <c r="P184" i="1"/>
  <c r="Q184" i="1" s="1"/>
  <c r="P185" i="1"/>
  <c r="Q185" i="1" s="1"/>
  <c r="P186" i="1"/>
  <c r="Q186" i="1"/>
  <c r="P187" i="1"/>
  <c r="Q187" i="1"/>
  <c r="P188" i="1"/>
  <c r="Q188" i="1"/>
  <c r="P189" i="1"/>
  <c r="Q189" i="1"/>
  <c r="P190" i="1"/>
  <c r="Q190" i="1"/>
  <c r="P191" i="1"/>
  <c r="Q191" i="1"/>
  <c r="P192" i="1"/>
  <c r="Q192" i="1" s="1"/>
  <c r="P193" i="1"/>
  <c r="Q193" i="1"/>
  <c r="P194" i="1"/>
  <c r="Q194" i="1" s="1"/>
  <c r="P195" i="1"/>
  <c r="Q195" i="1" s="1"/>
  <c r="P196" i="1"/>
  <c r="Q196" i="1" s="1"/>
  <c r="P197" i="1"/>
  <c r="Q197" i="1"/>
  <c r="P198" i="1"/>
  <c r="Q198" i="1"/>
  <c r="P199" i="1"/>
  <c r="Q199" i="1"/>
  <c r="P200" i="1"/>
  <c r="Q200" i="1"/>
  <c r="P201" i="1"/>
  <c r="Q201" i="1"/>
  <c r="P202" i="1"/>
  <c r="Q202" i="1"/>
  <c r="P203" i="1"/>
  <c r="Q203" i="1"/>
  <c r="P204" i="1"/>
  <c r="Q204" i="1"/>
  <c r="P205" i="1"/>
  <c r="Q205" i="1"/>
  <c r="P206" i="1"/>
  <c r="Q206" i="1"/>
  <c r="P207" i="1"/>
  <c r="Q207" i="1" s="1"/>
  <c r="P208" i="1"/>
  <c r="Q208" i="1"/>
  <c r="P209" i="1"/>
  <c r="Q209" i="1" s="1"/>
  <c r="P210" i="1"/>
  <c r="Q210" i="1"/>
  <c r="P211" i="1"/>
  <c r="Q211" i="1" s="1"/>
  <c r="P212" i="1"/>
  <c r="Q212" i="1"/>
  <c r="P213" i="1"/>
  <c r="Q213" i="1"/>
  <c r="P214" i="1"/>
  <c r="Q214" i="1"/>
  <c r="P215" i="1"/>
  <c r="Q215" i="1" s="1"/>
  <c r="P216" i="1"/>
  <c r="Q216" i="1"/>
  <c r="P217" i="1"/>
  <c r="Q217" i="1" s="1"/>
  <c r="P218" i="1"/>
  <c r="Q218" i="1"/>
  <c r="P219" i="1"/>
  <c r="Q219" i="1" s="1"/>
  <c r="P220" i="1"/>
  <c r="Q220" i="1"/>
  <c r="P221" i="1"/>
  <c r="Q221" i="1" s="1"/>
  <c r="P222" i="1"/>
  <c r="Q222" i="1"/>
  <c r="P223" i="1"/>
  <c r="Q223" i="1"/>
  <c r="P224" i="1"/>
  <c r="Q224" i="1"/>
  <c r="P225" i="1"/>
  <c r="Q225" i="1" s="1"/>
  <c r="P226" i="1"/>
  <c r="Q226" i="1"/>
  <c r="P227" i="1"/>
  <c r="Q227" i="1" s="1"/>
  <c r="P228" i="1"/>
  <c r="Q228" i="1" s="1"/>
  <c r="P229" i="1"/>
  <c r="Q229" i="1" s="1"/>
  <c r="P230" i="1"/>
  <c r="Q230" i="1" s="1"/>
  <c r="P231" i="1"/>
  <c r="Q231" i="1"/>
  <c r="P232" i="1"/>
  <c r="Q232" i="1"/>
  <c r="P233" i="1"/>
  <c r="Q233" i="1"/>
  <c r="P234" i="1"/>
  <c r="Q234" i="1"/>
  <c r="P235" i="1"/>
  <c r="Q235" i="1" s="1"/>
  <c r="P236" i="1"/>
  <c r="Q236" i="1"/>
  <c r="P237" i="1"/>
  <c r="Q237" i="1"/>
  <c r="P238" i="1"/>
  <c r="Q238" i="1"/>
  <c r="P239" i="1"/>
  <c r="Q239" i="1"/>
  <c r="P240" i="1"/>
  <c r="Q240" i="1"/>
  <c r="P241" i="1"/>
  <c r="Q241" i="1"/>
  <c r="P242" i="1"/>
  <c r="Q242" i="1"/>
  <c r="P243" i="1"/>
  <c r="Q243" i="1" s="1"/>
  <c r="P244" i="1"/>
  <c r="Q244" i="1"/>
  <c r="P245" i="1"/>
  <c r="Q245" i="1"/>
  <c r="P246" i="1"/>
  <c r="Q246" i="1" s="1"/>
  <c r="P247" i="1"/>
  <c r="Q247" i="1"/>
  <c r="P248" i="1"/>
  <c r="Q248" i="1"/>
  <c r="P249" i="1"/>
  <c r="Q249" i="1" s="1"/>
  <c r="P250" i="1"/>
  <c r="Q250" i="1"/>
  <c r="P251" i="1"/>
  <c r="Q251" i="1"/>
  <c r="P252" i="1"/>
  <c r="Q252" i="1"/>
  <c r="P253" i="1"/>
  <c r="Q253" i="1" s="1"/>
  <c r="P254" i="1"/>
  <c r="Q254" i="1"/>
  <c r="P255" i="1"/>
  <c r="Q255" i="1"/>
  <c r="P256" i="1"/>
  <c r="Q256" i="1"/>
  <c r="P257" i="1"/>
  <c r="Q257" i="1"/>
  <c r="P258" i="1"/>
  <c r="Q258" i="1"/>
  <c r="P259" i="1"/>
  <c r="Q259" i="1"/>
  <c r="P260" i="1"/>
  <c r="Q260" i="1"/>
  <c r="P261" i="1"/>
  <c r="Q261" i="1"/>
  <c r="P262" i="1"/>
  <c r="Q262" i="1"/>
  <c r="P263" i="1"/>
  <c r="Q263" i="1"/>
  <c r="P264" i="1"/>
  <c r="Q264" i="1" s="1"/>
  <c r="P265" i="1"/>
  <c r="Q265" i="1"/>
  <c r="P266" i="1"/>
  <c r="Q266" i="1"/>
  <c r="P267" i="1"/>
  <c r="Q267" i="1"/>
  <c r="P268" i="1"/>
  <c r="Q268" i="1"/>
  <c r="P269" i="1"/>
  <c r="Q269" i="1"/>
  <c r="P270" i="1"/>
  <c r="Q270" i="1" s="1"/>
  <c r="P271" i="1"/>
  <c r="Q271" i="1"/>
  <c r="P272" i="1"/>
  <c r="Q272" i="1" s="1"/>
  <c r="P273" i="1"/>
  <c r="Q273" i="1" s="1"/>
  <c r="P274" i="1"/>
  <c r="Q274" i="1" s="1"/>
  <c r="P275" i="1"/>
  <c r="Q275" i="1" s="1"/>
  <c r="P276" i="1"/>
  <c r="Q276" i="1"/>
  <c r="P277" i="1"/>
  <c r="Q277" i="1"/>
  <c r="P278" i="1"/>
  <c r="Q278" i="1" s="1"/>
  <c r="P279" i="1"/>
  <c r="Q279" i="1"/>
  <c r="P280" i="1"/>
  <c r="Q280" i="1"/>
  <c r="P281" i="1"/>
  <c r="Q281" i="1"/>
  <c r="P282" i="1"/>
  <c r="Q282" i="1"/>
  <c r="P283" i="1"/>
  <c r="Q283" i="1"/>
  <c r="P284" i="1"/>
  <c r="Q284" i="1" s="1"/>
  <c r="P285" i="1"/>
  <c r="Q285" i="1"/>
  <c r="P286" i="1"/>
  <c r="Q286" i="1"/>
  <c r="P287" i="1"/>
  <c r="Q287" i="1"/>
  <c r="P288" i="1"/>
  <c r="Q288" i="1"/>
  <c r="P289" i="1"/>
  <c r="Q289" i="1"/>
  <c r="P290" i="1"/>
  <c r="Q290" i="1"/>
  <c r="P291" i="1"/>
  <c r="Q291" i="1" s="1"/>
  <c r="P292" i="1"/>
  <c r="Q292" i="1"/>
  <c r="P293" i="1"/>
  <c r="Q293" i="1" s="1"/>
  <c r="P294" i="1"/>
  <c r="Q294" i="1"/>
  <c r="P295" i="1"/>
  <c r="Q295" i="1" s="1"/>
  <c r="P296" i="1"/>
  <c r="Q296" i="1"/>
  <c r="P297" i="1"/>
  <c r="Q297" i="1"/>
  <c r="P298" i="1"/>
  <c r="Q298" i="1" s="1"/>
  <c r="P299" i="1"/>
  <c r="Q299" i="1" s="1"/>
  <c r="P300" i="1"/>
  <c r="Q300" i="1" s="1"/>
  <c r="P301" i="1"/>
  <c r="Q301" i="1" s="1"/>
  <c r="P302" i="1"/>
  <c r="Q302" i="1"/>
  <c r="P303" i="1"/>
  <c r="Q303" i="1"/>
  <c r="P304" i="1"/>
  <c r="Q304" i="1"/>
  <c r="P305" i="1"/>
  <c r="Q305" i="1" s="1"/>
  <c r="P306" i="1"/>
  <c r="Q306" i="1" s="1"/>
  <c r="P307" i="1"/>
  <c r="Q307" i="1" s="1"/>
  <c r="P308" i="1"/>
  <c r="Q308" i="1"/>
  <c r="P309" i="1"/>
  <c r="Q309" i="1"/>
  <c r="P310" i="1"/>
  <c r="Q310" i="1"/>
  <c r="P311" i="1"/>
  <c r="Q311" i="1" s="1"/>
  <c r="P312" i="1"/>
  <c r="Q312" i="1"/>
  <c r="P313" i="1"/>
  <c r="Q313" i="1"/>
  <c r="P314" i="1"/>
  <c r="Q314" i="1"/>
  <c r="P315" i="1"/>
  <c r="Q315" i="1" s="1"/>
  <c r="P316" i="1"/>
  <c r="Q316" i="1"/>
  <c r="P317" i="1"/>
  <c r="Q317" i="1" s="1"/>
  <c r="P318" i="1"/>
  <c r="Q318" i="1"/>
  <c r="P319" i="1"/>
  <c r="Q319" i="1"/>
  <c r="P320" i="1"/>
  <c r="Q320" i="1"/>
  <c r="P321" i="1"/>
  <c r="Q321" i="1" s="1"/>
  <c r="P322" i="1"/>
  <c r="Q322" i="1" s="1"/>
  <c r="P323" i="1"/>
  <c r="Q323" i="1"/>
  <c r="P324" i="1"/>
  <c r="Q324" i="1" s="1"/>
  <c r="P325" i="1"/>
  <c r="Q325" i="1" s="1"/>
  <c r="P326" i="1"/>
  <c r="Q326" i="1"/>
  <c r="P327" i="1"/>
  <c r="Q327" i="1"/>
  <c r="P328" i="1"/>
  <c r="Q328" i="1"/>
  <c r="P329" i="1"/>
  <c r="Q329" i="1"/>
  <c r="P330" i="1"/>
  <c r="Q330" i="1" s="1"/>
  <c r="P331" i="1"/>
  <c r="Q331" i="1"/>
  <c r="P332" i="1"/>
  <c r="Q332" i="1"/>
  <c r="P333" i="1"/>
  <c r="Q333" i="1"/>
  <c r="P334" i="1"/>
  <c r="Q334" i="1"/>
  <c r="P335" i="1"/>
  <c r="Q335" i="1"/>
  <c r="P336" i="1"/>
  <c r="Q336" i="1"/>
  <c r="P337" i="1"/>
  <c r="Q337" i="1" s="1"/>
  <c r="P338" i="1"/>
  <c r="Q338" i="1" s="1"/>
  <c r="P339" i="1"/>
  <c r="Q339" i="1"/>
  <c r="P340" i="1"/>
  <c r="Q340" i="1"/>
  <c r="P341" i="1"/>
  <c r="Q341" i="1" s="1"/>
  <c r="P342" i="1"/>
  <c r="Q342" i="1"/>
  <c r="P343" i="1"/>
  <c r="Q343" i="1"/>
  <c r="P344" i="1"/>
  <c r="Q344" i="1"/>
  <c r="P345" i="1"/>
  <c r="Q345" i="1"/>
  <c r="P346" i="1"/>
  <c r="Q346" i="1"/>
  <c r="P347" i="1"/>
  <c r="Q347" i="1"/>
  <c r="P348" i="1"/>
  <c r="Q348" i="1"/>
  <c r="P349" i="1"/>
  <c r="Q349" i="1"/>
  <c r="P350" i="1"/>
  <c r="Q350" i="1"/>
  <c r="P351" i="1"/>
  <c r="Q351" i="1"/>
  <c r="I3" i="1"/>
  <c r="J3" i="1" s="1"/>
  <c r="I4" i="1"/>
  <c r="J4" i="1" s="1"/>
  <c r="I5" i="1"/>
  <c r="J5" i="1" s="1"/>
  <c r="I6" i="1"/>
  <c r="J6" i="1"/>
  <c r="I7" i="1"/>
  <c r="J7" i="1"/>
  <c r="I8" i="1"/>
  <c r="J8" i="1"/>
  <c r="I9" i="1"/>
  <c r="J9" i="1" s="1"/>
  <c r="I10" i="1"/>
  <c r="J10" i="1"/>
  <c r="I11" i="1"/>
  <c r="J11" i="1" s="1"/>
  <c r="I12" i="1"/>
  <c r="J12" i="1" s="1"/>
  <c r="I13" i="1"/>
  <c r="J13" i="1"/>
  <c r="I14" i="1"/>
  <c r="J14" i="1" s="1"/>
  <c r="I15" i="1"/>
  <c r="J15" i="1"/>
  <c r="I16" i="1"/>
  <c r="J16" i="1" s="1"/>
  <c r="I17" i="1"/>
  <c r="J17" i="1"/>
  <c r="I18" i="1"/>
  <c r="J18" i="1" s="1"/>
  <c r="I19" i="1"/>
  <c r="J19" i="1"/>
  <c r="I20" i="1"/>
  <c r="J20" i="1"/>
  <c r="I21" i="1"/>
  <c r="J21" i="1"/>
  <c r="I22" i="1"/>
  <c r="J22" i="1"/>
  <c r="I23" i="1"/>
  <c r="J23" i="1"/>
  <c r="I24" i="1"/>
  <c r="J24" i="1" s="1"/>
  <c r="I25" i="1"/>
  <c r="J25" i="1"/>
  <c r="I26" i="1"/>
  <c r="J26" i="1" s="1"/>
  <c r="I27" i="1"/>
  <c r="J27" i="1" s="1"/>
  <c r="I28" i="1"/>
  <c r="J28" i="1" s="1"/>
  <c r="I29" i="1"/>
  <c r="J29" i="1" s="1"/>
  <c r="I30" i="1"/>
  <c r="J30" i="1"/>
  <c r="I31" i="1"/>
  <c r="J31" i="1" s="1"/>
  <c r="I32" i="1"/>
  <c r="J32" i="1"/>
  <c r="I33" i="1"/>
  <c r="J33" i="1" s="1"/>
  <c r="I34" i="1"/>
  <c r="J34" i="1"/>
  <c r="I35" i="1"/>
  <c r="J35" i="1" s="1"/>
  <c r="I36" i="1"/>
  <c r="J36" i="1"/>
  <c r="I37" i="1"/>
  <c r="J37" i="1" s="1"/>
  <c r="I38" i="1"/>
  <c r="J38" i="1"/>
  <c r="I39" i="1"/>
  <c r="J39" i="1" s="1"/>
  <c r="I40" i="1"/>
  <c r="J40" i="1"/>
  <c r="I41" i="1"/>
  <c r="J41" i="1" s="1"/>
  <c r="I42" i="1"/>
  <c r="J42" i="1"/>
  <c r="I43" i="1"/>
  <c r="J43" i="1"/>
  <c r="I44" i="1"/>
  <c r="J44" i="1" s="1"/>
  <c r="I45" i="1"/>
  <c r="J45" i="1"/>
  <c r="I46" i="1"/>
  <c r="J46" i="1"/>
  <c r="I47" i="1"/>
  <c r="J47" i="1"/>
  <c r="I48" i="1"/>
  <c r="J48" i="1" s="1"/>
  <c r="I49" i="1"/>
  <c r="J49" i="1"/>
  <c r="I50" i="1"/>
  <c r="J50" i="1"/>
  <c r="I51" i="1"/>
  <c r="J51" i="1"/>
  <c r="I52" i="1"/>
  <c r="J52" i="1"/>
  <c r="I53" i="1"/>
  <c r="J53" i="1"/>
  <c r="I54" i="1"/>
  <c r="J54" i="1"/>
  <c r="I55" i="1"/>
  <c r="J55" i="1"/>
  <c r="I56" i="1"/>
  <c r="J56" i="1"/>
  <c r="I57" i="1"/>
  <c r="J57" i="1"/>
  <c r="I58" i="1"/>
  <c r="J58" i="1"/>
  <c r="I59" i="1"/>
  <c r="J59" i="1"/>
  <c r="I60" i="1"/>
  <c r="J60" i="1"/>
  <c r="I61" i="1"/>
  <c r="J61" i="1"/>
  <c r="I62" i="1"/>
  <c r="J62" i="1" s="1"/>
  <c r="I63" i="1"/>
  <c r="J63" i="1"/>
  <c r="I64" i="1"/>
  <c r="J64" i="1" s="1"/>
  <c r="I65" i="1"/>
  <c r="J65" i="1"/>
  <c r="I66" i="1"/>
  <c r="J66" i="1"/>
  <c r="I67" i="1"/>
  <c r="J67" i="1"/>
  <c r="I68" i="1"/>
  <c r="J68" i="1"/>
  <c r="I69" i="1"/>
  <c r="J69" i="1" s="1"/>
  <c r="I70" i="1"/>
  <c r="J70" i="1"/>
  <c r="I71" i="1"/>
  <c r="J71" i="1" s="1"/>
  <c r="I72" i="1"/>
  <c r="J72" i="1" s="1"/>
  <c r="I73" i="1"/>
  <c r="J73" i="1"/>
  <c r="I74" i="1"/>
  <c r="J74" i="1" s="1"/>
  <c r="I75" i="1"/>
  <c r="J75" i="1"/>
  <c r="I76" i="1"/>
  <c r="J76" i="1"/>
  <c r="I77" i="1"/>
  <c r="J77" i="1"/>
  <c r="I78" i="1"/>
  <c r="J78" i="1"/>
  <c r="I79" i="1"/>
  <c r="J79" i="1" s="1"/>
  <c r="I80" i="1"/>
  <c r="J80" i="1"/>
  <c r="I81" i="1"/>
  <c r="J81" i="1"/>
  <c r="I82" i="1"/>
  <c r="J82" i="1" s="1"/>
  <c r="I83" i="1"/>
  <c r="J83" i="1" s="1"/>
  <c r="I84" i="1"/>
  <c r="J84" i="1" s="1"/>
  <c r="I85" i="1"/>
  <c r="J85" i="1"/>
  <c r="I86" i="1"/>
  <c r="J86" i="1"/>
  <c r="I87" i="1"/>
  <c r="J87" i="1"/>
  <c r="I88" i="1"/>
  <c r="J88" i="1" s="1"/>
  <c r="I89" i="1"/>
  <c r="J89" i="1"/>
  <c r="I90" i="1"/>
  <c r="J90" i="1"/>
  <c r="I91" i="1"/>
  <c r="J91" i="1"/>
  <c r="I92" i="1"/>
  <c r="J92" i="1"/>
  <c r="I93" i="1"/>
  <c r="J93" i="1"/>
  <c r="I94" i="1"/>
  <c r="J94" i="1"/>
  <c r="I95" i="1"/>
  <c r="J95" i="1"/>
  <c r="I96" i="1"/>
  <c r="J96" i="1" s="1"/>
  <c r="I97" i="1"/>
  <c r="J97" i="1"/>
  <c r="I98" i="1"/>
  <c r="J98" i="1"/>
  <c r="I99" i="1"/>
  <c r="J99" i="1" s="1"/>
  <c r="I100" i="1"/>
  <c r="J100" i="1" s="1"/>
  <c r="I101" i="1"/>
  <c r="J101" i="1"/>
  <c r="I102" i="1"/>
  <c r="J102" i="1"/>
  <c r="I103" i="1"/>
  <c r="J103" i="1" s="1"/>
  <c r="I104" i="1"/>
  <c r="J104" i="1" s="1"/>
  <c r="I105" i="1"/>
  <c r="J105" i="1" s="1"/>
  <c r="I106" i="1"/>
  <c r="J106" i="1"/>
  <c r="I107" i="1"/>
  <c r="J107" i="1"/>
  <c r="I108" i="1"/>
  <c r="J108" i="1"/>
  <c r="I109" i="1"/>
  <c r="J109" i="1" s="1"/>
  <c r="I110" i="1"/>
  <c r="J110" i="1"/>
  <c r="I111" i="1"/>
  <c r="J111" i="1"/>
  <c r="I112" i="1"/>
  <c r="J112" i="1"/>
  <c r="I113" i="1"/>
  <c r="J113" i="1"/>
  <c r="I114" i="1"/>
  <c r="J114" i="1"/>
  <c r="I115" i="1"/>
  <c r="J115" i="1"/>
  <c r="I116" i="1"/>
  <c r="J116" i="1" s="1"/>
  <c r="I117" i="1"/>
  <c r="J117" i="1"/>
  <c r="I118" i="1"/>
  <c r="J118" i="1"/>
  <c r="I119" i="1"/>
  <c r="J119" i="1" s="1"/>
  <c r="I120" i="1"/>
  <c r="J120" i="1"/>
  <c r="I121" i="1"/>
  <c r="J121" i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/>
  <c r="I129" i="1"/>
  <c r="J129" i="1"/>
  <c r="I130" i="1"/>
  <c r="J130" i="1"/>
  <c r="I131" i="1"/>
  <c r="J131" i="1"/>
  <c r="I132" i="1"/>
  <c r="J132" i="1"/>
  <c r="I133" i="1"/>
  <c r="J133" i="1"/>
  <c r="I134" i="1"/>
  <c r="J134" i="1"/>
  <c r="I135" i="1"/>
  <c r="J135" i="1"/>
  <c r="I136" i="1"/>
  <c r="J136" i="1"/>
  <c r="I137" i="1"/>
  <c r="J137" i="1"/>
  <c r="I138" i="1"/>
  <c r="J138" i="1"/>
  <c r="I139" i="1"/>
  <c r="J139" i="1" s="1"/>
  <c r="I140" i="1"/>
  <c r="J140" i="1" s="1"/>
  <c r="I141" i="1"/>
  <c r="J141" i="1"/>
  <c r="I142" i="1"/>
  <c r="J142" i="1" s="1"/>
  <c r="I143" i="1"/>
  <c r="J143" i="1"/>
  <c r="I144" i="1"/>
  <c r="J144" i="1"/>
  <c r="I145" i="1"/>
  <c r="J145" i="1"/>
  <c r="I146" i="1"/>
  <c r="J146" i="1"/>
  <c r="I147" i="1"/>
  <c r="J147" i="1"/>
  <c r="I148" i="1"/>
  <c r="J148" i="1"/>
  <c r="I149" i="1"/>
  <c r="J149" i="1"/>
  <c r="I150" i="1"/>
  <c r="J150" i="1"/>
  <c r="I151" i="1"/>
  <c r="J151" i="1" s="1"/>
  <c r="I152" i="1"/>
  <c r="J152" i="1"/>
  <c r="I153" i="1"/>
  <c r="J153" i="1"/>
  <c r="I154" i="1"/>
  <c r="J154" i="1"/>
  <c r="I155" i="1"/>
  <c r="J155" i="1"/>
  <c r="I156" i="1"/>
  <c r="J156" i="1"/>
  <c r="I157" i="1"/>
  <c r="J157" i="1"/>
  <c r="I158" i="1"/>
  <c r="J158" i="1"/>
  <c r="I159" i="1"/>
  <c r="J159" i="1"/>
  <c r="I160" i="1"/>
  <c r="J160" i="1"/>
  <c r="I161" i="1"/>
  <c r="J161" i="1" s="1"/>
  <c r="I162" i="1"/>
  <c r="J162" i="1"/>
  <c r="I163" i="1"/>
  <c r="J163" i="1"/>
  <c r="I164" i="1"/>
  <c r="J164" i="1"/>
  <c r="I165" i="1"/>
  <c r="J165" i="1" s="1"/>
  <c r="I166" i="1"/>
  <c r="J166" i="1"/>
  <c r="I167" i="1"/>
  <c r="J167" i="1"/>
  <c r="I168" i="1"/>
  <c r="J168" i="1" s="1"/>
  <c r="I169" i="1"/>
  <c r="J169" i="1"/>
  <c r="I170" i="1"/>
  <c r="J170" i="1" s="1"/>
  <c r="I171" i="1"/>
  <c r="J171" i="1"/>
  <c r="I172" i="1"/>
  <c r="J172" i="1" s="1"/>
  <c r="I173" i="1"/>
  <c r="J173" i="1" s="1"/>
  <c r="I174" i="1"/>
  <c r="J174" i="1"/>
  <c r="I175" i="1"/>
  <c r="J175" i="1"/>
  <c r="I176" i="1"/>
  <c r="J176" i="1"/>
  <c r="I177" i="1"/>
  <c r="J177" i="1"/>
  <c r="I178" i="1"/>
  <c r="J178" i="1"/>
  <c r="I179" i="1"/>
  <c r="J179" i="1" s="1"/>
  <c r="I180" i="1"/>
  <c r="J180" i="1" s="1"/>
  <c r="I181" i="1"/>
  <c r="J181" i="1" s="1"/>
  <c r="I182" i="1"/>
  <c r="J182" i="1"/>
  <c r="I183" i="1"/>
  <c r="J183" i="1"/>
  <c r="I184" i="1"/>
  <c r="J184" i="1"/>
  <c r="I185" i="1"/>
  <c r="J185" i="1" s="1"/>
  <c r="I186" i="1"/>
  <c r="J186" i="1" s="1"/>
  <c r="I187" i="1"/>
  <c r="J187" i="1"/>
  <c r="I188" i="1"/>
  <c r="J188" i="1" s="1"/>
  <c r="I189" i="1"/>
  <c r="J189" i="1"/>
  <c r="I190" i="1"/>
  <c r="J190" i="1"/>
  <c r="I191" i="1"/>
  <c r="J191" i="1" s="1"/>
  <c r="I192" i="1"/>
  <c r="J192" i="1" s="1"/>
  <c r="I193" i="1"/>
  <c r="J193" i="1"/>
  <c r="I194" i="1"/>
  <c r="J194" i="1"/>
  <c r="I195" i="1"/>
  <c r="J195" i="1" s="1"/>
  <c r="I196" i="1"/>
  <c r="J196" i="1" s="1"/>
  <c r="I197" i="1"/>
  <c r="J197" i="1"/>
  <c r="I198" i="1"/>
  <c r="J198" i="1"/>
  <c r="I199" i="1"/>
  <c r="J199" i="1"/>
  <c r="I200" i="1"/>
  <c r="J200" i="1"/>
  <c r="I201" i="1"/>
  <c r="J201" i="1"/>
  <c r="I202" i="1"/>
  <c r="J202" i="1"/>
  <c r="I203" i="1"/>
  <c r="J203" i="1"/>
  <c r="I204" i="1"/>
  <c r="J204" i="1"/>
  <c r="I205" i="1"/>
  <c r="J205" i="1" s="1"/>
  <c r="I206" i="1"/>
  <c r="J206" i="1" s="1"/>
  <c r="I207" i="1"/>
  <c r="J207" i="1" s="1"/>
  <c r="I208" i="1"/>
  <c r="J208" i="1"/>
  <c r="I209" i="1"/>
  <c r="J209" i="1"/>
  <c r="I210" i="1"/>
  <c r="J210" i="1"/>
  <c r="I211" i="1"/>
  <c r="J211" i="1"/>
  <c r="I212" i="1"/>
  <c r="J212" i="1"/>
  <c r="I213" i="1"/>
  <c r="J213" i="1"/>
  <c r="I214" i="1"/>
  <c r="J214" i="1"/>
  <c r="I215" i="1"/>
  <c r="J215" i="1"/>
  <c r="I216" i="1"/>
  <c r="J216" i="1" s="1"/>
  <c r="I217" i="1"/>
  <c r="J217" i="1"/>
  <c r="I218" i="1"/>
  <c r="J218" i="1"/>
  <c r="I219" i="1"/>
  <c r="J219" i="1"/>
  <c r="I220" i="1"/>
  <c r="J220" i="1"/>
  <c r="I221" i="1"/>
  <c r="J221" i="1"/>
  <c r="I222" i="1"/>
  <c r="J222" i="1" s="1"/>
  <c r="I223" i="1"/>
  <c r="J223" i="1"/>
  <c r="I224" i="1"/>
  <c r="J224" i="1"/>
  <c r="I225" i="1"/>
  <c r="J225" i="1" s="1"/>
  <c r="I226" i="1"/>
  <c r="J226" i="1" s="1"/>
  <c r="I227" i="1"/>
  <c r="J227" i="1" s="1"/>
  <c r="I228" i="1"/>
  <c r="J228" i="1"/>
  <c r="I229" i="1"/>
  <c r="J229" i="1"/>
  <c r="I230" i="1"/>
  <c r="J230" i="1" s="1"/>
  <c r="I231" i="1"/>
  <c r="J231" i="1" s="1"/>
  <c r="I232" i="1"/>
  <c r="J232" i="1"/>
  <c r="I233" i="1"/>
  <c r="J233" i="1"/>
  <c r="I234" i="1"/>
  <c r="J234" i="1" s="1"/>
  <c r="I235" i="1"/>
  <c r="J235" i="1" s="1"/>
  <c r="I236" i="1"/>
  <c r="J236" i="1" s="1"/>
  <c r="I237" i="1"/>
  <c r="J237" i="1"/>
  <c r="I238" i="1"/>
  <c r="J238" i="1"/>
  <c r="I239" i="1"/>
  <c r="J239" i="1" s="1"/>
  <c r="I240" i="1"/>
  <c r="J240" i="1"/>
  <c r="I241" i="1"/>
  <c r="J241" i="1"/>
  <c r="I242" i="1"/>
  <c r="J242" i="1"/>
  <c r="I243" i="1"/>
  <c r="J243" i="1" s="1"/>
  <c r="I244" i="1"/>
  <c r="J244" i="1"/>
  <c r="I245" i="1"/>
  <c r="J245" i="1"/>
  <c r="I246" i="1"/>
  <c r="J246" i="1"/>
  <c r="I247" i="1"/>
  <c r="J247" i="1"/>
  <c r="I248" i="1"/>
  <c r="J248" i="1"/>
  <c r="I249" i="1"/>
  <c r="J249" i="1"/>
  <c r="I250" i="1"/>
  <c r="J250" i="1"/>
  <c r="I251" i="1"/>
  <c r="J251" i="1" s="1"/>
  <c r="I252" i="1"/>
  <c r="J252" i="1"/>
  <c r="I253" i="1"/>
  <c r="J253" i="1"/>
  <c r="I254" i="1"/>
  <c r="J254" i="1"/>
  <c r="I255" i="1"/>
  <c r="J255" i="1"/>
  <c r="I256" i="1"/>
  <c r="J256" i="1" s="1"/>
  <c r="I257" i="1"/>
  <c r="J257" i="1" s="1"/>
  <c r="I258" i="1"/>
  <c r="J258" i="1"/>
  <c r="I259" i="1"/>
  <c r="J259" i="1" s="1"/>
  <c r="I260" i="1"/>
  <c r="J260" i="1" s="1"/>
  <c r="I261" i="1"/>
  <c r="J261" i="1"/>
  <c r="I262" i="1"/>
  <c r="J262" i="1"/>
  <c r="I263" i="1"/>
  <c r="J263" i="1"/>
  <c r="I264" i="1"/>
  <c r="J264" i="1"/>
  <c r="I265" i="1"/>
  <c r="J265" i="1"/>
  <c r="I266" i="1"/>
  <c r="J266" i="1" s="1"/>
  <c r="I267" i="1"/>
  <c r="J267" i="1"/>
  <c r="I268" i="1"/>
  <c r="J268" i="1"/>
  <c r="I269" i="1"/>
  <c r="J269" i="1" s="1"/>
  <c r="I270" i="1"/>
  <c r="J270" i="1"/>
  <c r="I271" i="1"/>
  <c r="J271" i="1"/>
  <c r="I272" i="1"/>
  <c r="J272" i="1" s="1"/>
  <c r="I273" i="1"/>
  <c r="J273" i="1" s="1"/>
  <c r="I274" i="1"/>
  <c r="J274" i="1"/>
  <c r="I275" i="1"/>
  <c r="J275" i="1" s="1"/>
  <c r="I276" i="1"/>
  <c r="J276" i="1" s="1"/>
  <c r="I277" i="1"/>
  <c r="J277" i="1" s="1"/>
  <c r="I278" i="1"/>
  <c r="J278" i="1" s="1"/>
  <c r="I279" i="1"/>
  <c r="J279" i="1"/>
  <c r="I280" i="1"/>
  <c r="J280" i="1"/>
  <c r="I281" i="1"/>
  <c r="J281" i="1"/>
  <c r="I282" i="1"/>
  <c r="J282" i="1" s="1"/>
  <c r="I283" i="1"/>
  <c r="J283" i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/>
  <c r="I291" i="1"/>
  <c r="J291" i="1" s="1"/>
  <c r="I292" i="1"/>
  <c r="J292" i="1"/>
  <c r="I293" i="1"/>
  <c r="J293" i="1"/>
  <c r="I294" i="1"/>
  <c r="J294" i="1" s="1"/>
  <c r="I295" i="1"/>
  <c r="J295" i="1" s="1"/>
  <c r="I296" i="1"/>
  <c r="J296" i="1"/>
  <c r="I297" i="1"/>
  <c r="J297" i="1"/>
  <c r="I298" i="1"/>
  <c r="J298" i="1"/>
  <c r="I299" i="1"/>
  <c r="J299" i="1"/>
  <c r="I300" i="1"/>
  <c r="J300" i="1"/>
  <c r="I301" i="1"/>
  <c r="J301" i="1" s="1"/>
  <c r="I302" i="1"/>
  <c r="J302" i="1"/>
  <c r="I303" i="1"/>
  <c r="J303" i="1" s="1"/>
  <c r="I304" i="1"/>
  <c r="J304" i="1"/>
  <c r="I305" i="1"/>
  <c r="J305" i="1"/>
  <c r="I306" i="1"/>
  <c r="J306" i="1" s="1"/>
  <c r="I307" i="1"/>
  <c r="J307" i="1"/>
  <c r="I308" i="1"/>
  <c r="J308" i="1"/>
  <c r="I309" i="1"/>
  <c r="J309" i="1" s="1"/>
  <c r="I310" i="1"/>
  <c r="J310" i="1" s="1"/>
  <c r="I311" i="1"/>
  <c r="J311" i="1" s="1"/>
  <c r="I312" i="1"/>
  <c r="J312" i="1"/>
  <c r="I313" i="1"/>
  <c r="J313" i="1" s="1"/>
  <c r="I314" i="1"/>
  <c r="J314" i="1" s="1"/>
  <c r="I315" i="1"/>
  <c r="J315" i="1"/>
  <c r="I316" i="1"/>
  <c r="J316" i="1" s="1"/>
  <c r="I317" i="1"/>
  <c r="J317" i="1" s="1"/>
  <c r="I318" i="1"/>
  <c r="J318" i="1"/>
  <c r="I319" i="1"/>
  <c r="J319" i="1" s="1"/>
  <c r="I320" i="1"/>
  <c r="J320" i="1" s="1"/>
  <c r="I321" i="1"/>
  <c r="J321" i="1"/>
  <c r="I322" i="1"/>
  <c r="J322" i="1"/>
  <c r="I323" i="1"/>
  <c r="J323" i="1" s="1"/>
  <c r="I324" i="1"/>
  <c r="J324" i="1"/>
  <c r="I325" i="1"/>
  <c r="J325" i="1"/>
  <c r="I326" i="1"/>
  <c r="J326" i="1"/>
  <c r="I327" i="1"/>
  <c r="J327" i="1"/>
  <c r="I328" i="1"/>
  <c r="J328" i="1"/>
  <c r="I329" i="1"/>
  <c r="J329" i="1"/>
  <c r="I330" i="1"/>
  <c r="J330" i="1" s="1"/>
  <c r="I331" i="1"/>
  <c r="J331" i="1" s="1"/>
  <c r="I332" i="1"/>
  <c r="J332" i="1" s="1"/>
  <c r="I333" i="1"/>
  <c r="J333" i="1"/>
  <c r="I334" i="1"/>
  <c r="J334" i="1" s="1"/>
  <c r="I335" i="1"/>
  <c r="J335" i="1"/>
  <c r="I336" i="1"/>
  <c r="J336" i="1"/>
  <c r="I337" i="1"/>
  <c r="J337" i="1"/>
  <c r="I338" i="1"/>
  <c r="J338" i="1"/>
  <c r="I339" i="1"/>
  <c r="J339" i="1" s="1"/>
  <c r="I340" i="1"/>
  <c r="J340" i="1"/>
  <c r="I341" i="1"/>
  <c r="J341" i="1" s="1"/>
  <c r="I342" i="1"/>
  <c r="J342" i="1" s="1"/>
  <c r="I343" i="1"/>
  <c r="J343" i="1"/>
  <c r="I344" i="1"/>
  <c r="J344" i="1"/>
  <c r="I345" i="1"/>
  <c r="J345" i="1" s="1"/>
  <c r="I346" i="1"/>
  <c r="J346" i="1"/>
  <c r="I347" i="1"/>
  <c r="J347" i="1" s="1"/>
  <c r="I348" i="1"/>
  <c r="J348" i="1"/>
  <c r="I349" i="1"/>
  <c r="J349" i="1" s="1"/>
  <c r="I350" i="1"/>
  <c r="J350" i="1"/>
  <c r="I351" i="1"/>
  <c r="J351" i="1" s="1"/>
  <c r="I2" i="1"/>
  <c r="J2" i="1" s="1"/>
  <c r="P2" i="1"/>
  <c r="Q2" i="1" s="1"/>
  <c r="T351" i="1"/>
  <c r="S351" i="1"/>
  <c r="R351" i="1"/>
  <c r="T350" i="1"/>
  <c r="S350" i="1"/>
  <c r="R350" i="1"/>
  <c r="T349" i="1"/>
  <c r="S349" i="1"/>
  <c r="R349" i="1"/>
  <c r="T348" i="1"/>
  <c r="S348" i="1"/>
  <c r="R348" i="1"/>
  <c r="T347" i="1"/>
  <c r="S347" i="1"/>
  <c r="R347" i="1"/>
  <c r="T346" i="1"/>
  <c r="S346" i="1"/>
  <c r="R346" i="1"/>
  <c r="T345" i="1"/>
  <c r="S345" i="1"/>
  <c r="R345" i="1"/>
  <c r="T344" i="1"/>
  <c r="S344" i="1"/>
  <c r="R344" i="1"/>
  <c r="T343" i="1"/>
  <c r="S343" i="1"/>
  <c r="R343" i="1"/>
  <c r="T342" i="1"/>
  <c r="S342" i="1"/>
  <c r="R342" i="1"/>
  <c r="T341" i="1"/>
  <c r="S341" i="1"/>
  <c r="R341" i="1"/>
  <c r="T340" i="1"/>
  <c r="S340" i="1"/>
  <c r="R340" i="1"/>
  <c r="T339" i="1"/>
  <c r="S339" i="1"/>
  <c r="R339" i="1"/>
  <c r="T338" i="1"/>
  <c r="S338" i="1"/>
  <c r="R338" i="1"/>
  <c r="T337" i="1"/>
  <c r="S337" i="1"/>
  <c r="R337" i="1"/>
  <c r="T336" i="1"/>
  <c r="S336" i="1"/>
  <c r="R336" i="1"/>
  <c r="T335" i="1"/>
  <c r="S335" i="1"/>
  <c r="R335" i="1"/>
  <c r="T334" i="1"/>
  <c r="S334" i="1"/>
  <c r="R334" i="1"/>
  <c r="T333" i="1"/>
  <c r="S333" i="1"/>
  <c r="R333" i="1"/>
  <c r="T332" i="1"/>
  <c r="S332" i="1"/>
  <c r="R332" i="1"/>
  <c r="T331" i="1"/>
  <c r="S331" i="1"/>
  <c r="R331" i="1"/>
  <c r="T330" i="1"/>
  <c r="S330" i="1"/>
  <c r="R330" i="1"/>
  <c r="T329" i="1"/>
  <c r="S329" i="1"/>
  <c r="R329" i="1"/>
  <c r="T328" i="1"/>
  <c r="S328" i="1"/>
  <c r="R328" i="1"/>
  <c r="T327" i="1"/>
  <c r="S327" i="1"/>
  <c r="R327" i="1"/>
  <c r="T326" i="1"/>
  <c r="S326" i="1"/>
  <c r="R326" i="1"/>
  <c r="T325" i="1"/>
  <c r="S325" i="1"/>
  <c r="R325" i="1"/>
  <c r="T324" i="1"/>
  <c r="S324" i="1"/>
  <c r="R324" i="1"/>
  <c r="T323" i="1"/>
  <c r="S323" i="1"/>
  <c r="R323" i="1"/>
  <c r="T322" i="1"/>
  <c r="S322" i="1"/>
  <c r="R322" i="1"/>
  <c r="T321" i="1"/>
  <c r="S321" i="1"/>
  <c r="R321" i="1"/>
  <c r="T320" i="1"/>
  <c r="S320" i="1"/>
  <c r="R320" i="1"/>
  <c r="T319" i="1"/>
  <c r="S319" i="1"/>
  <c r="R319" i="1"/>
  <c r="T318" i="1"/>
  <c r="S318" i="1"/>
  <c r="R318" i="1"/>
  <c r="T317" i="1"/>
  <c r="S317" i="1"/>
  <c r="R317" i="1"/>
  <c r="T316" i="1"/>
  <c r="S316" i="1"/>
  <c r="R316" i="1"/>
  <c r="T315" i="1"/>
  <c r="S315" i="1"/>
  <c r="R315" i="1"/>
  <c r="T314" i="1"/>
  <c r="S314" i="1"/>
  <c r="R314" i="1"/>
  <c r="T313" i="1"/>
  <c r="S313" i="1"/>
  <c r="R313" i="1"/>
  <c r="T312" i="1"/>
  <c r="S312" i="1"/>
  <c r="R312" i="1"/>
  <c r="T311" i="1"/>
  <c r="S311" i="1"/>
  <c r="R311" i="1"/>
  <c r="T310" i="1"/>
  <c r="S310" i="1"/>
  <c r="R310" i="1"/>
  <c r="T309" i="1"/>
  <c r="S309" i="1"/>
  <c r="R309" i="1"/>
  <c r="T308" i="1"/>
  <c r="S308" i="1"/>
  <c r="R308" i="1"/>
  <c r="T307" i="1"/>
  <c r="S307" i="1"/>
  <c r="R307" i="1"/>
  <c r="T306" i="1"/>
  <c r="S306" i="1"/>
  <c r="R306" i="1"/>
  <c r="T305" i="1"/>
  <c r="S305" i="1"/>
  <c r="R305" i="1"/>
  <c r="T304" i="1"/>
  <c r="S304" i="1"/>
  <c r="R304" i="1"/>
  <c r="T303" i="1"/>
  <c r="S303" i="1"/>
  <c r="R303" i="1"/>
  <c r="T302" i="1"/>
  <c r="S302" i="1"/>
  <c r="R302" i="1"/>
  <c r="T301" i="1"/>
  <c r="S301" i="1"/>
  <c r="R301" i="1"/>
  <c r="T300" i="1"/>
  <c r="S300" i="1"/>
  <c r="R300" i="1"/>
  <c r="T299" i="1"/>
  <c r="S299" i="1"/>
  <c r="R299" i="1"/>
  <c r="T298" i="1"/>
  <c r="S298" i="1"/>
  <c r="R298" i="1"/>
  <c r="T297" i="1"/>
  <c r="S297" i="1"/>
  <c r="R297" i="1"/>
  <c r="T296" i="1"/>
  <c r="S296" i="1"/>
  <c r="R296" i="1"/>
  <c r="T295" i="1"/>
  <c r="S295" i="1"/>
  <c r="R295" i="1"/>
  <c r="T294" i="1"/>
  <c r="S294" i="1"/>
  <c r="R294" i="1"/>
  <c r="T293" i="1"/>
  <c r="S293" i="1"/>
  <c r="R293" i="1"/>
  <c r="T292" i="1"/>
  <c r="S292" i="1"/>
  <c r="R292" i="1"/>
  <c r="T291" i="1"/>
  <c r="S291" i="1"/>
  <c r="R291" i="1"/>
  <c r="T290" i="1"/>
  <c r="S290" i="1"/>
  <c r="R290" i="1"/>
  <c r="T289" i="1"/>
  <c r="S289" i="1"/>
  <c r="R289" i="1"/>
  <c r="T288" i="1"/>
  <c r="S288" i="1"/>
  <c r="R288" i="1"/>
  <c r="T287" i="1"/>
  <c r="S287" i="1"/>
  <c r="R287" i="1"/>
  <c r="T286" i="1"/>
  <c r="S286" i="1"/>
  <c r="R286" i="1"/>
  <c r="T285" i="1"/>
  <c r="S285" i="1"/>
  <c r="R285" i="1"/>
  <c r="T284" i="1"/>
  <c r="S284" i="1"/>
  <c r="R284" i="1"/>
  <c r="T283" i="1"/>
  <c r="S283" i="1"/>
  <c r="R283" i="1"/>
  <c r="T282" i="1"/>
  <c r="S282" i="1"/>
  <c r="R282" i="1"/>
  <c r="T281" i="1"/>
  <c r="S281" i="1"/>
  <c r="R281" i="1"/>
  <c r="T280" i="1"/>
  <c r="S280" i="1"/>
  <c r="R280" i="1"/>
  <c r="T279" i="1"/>
  <c r="S279" i="1"/>
  <c r="R279" i="1"/>
  <c r="T278" i="1"/>
  <c r="S278" i="1"/>
  <c r="R278" i="1"/>
  <c r="T277" i="1"/>
  <c r="S277" i="1"/>
  <c r="R277" i="1"/>
  <c r="T276" i="1"/>
  <c r="S276" i="1"/>
  <c r="R276" i="1"/>
  <c r="T275" i="1"/>
  <c r="S275" i="1"/>
  <c r="R275" i="1"/>
  <c r="T274" i="1"/>
  <c r="S274" i="1"/>
  <c r="R274" i="1"/>
  <c r="T273" i="1"/>
  <c r="S273" i="1"/>
  <c r="R273" i="1"/>
  <c r="T272" i="1"/>
  <c r="S272" i="1"/>
  <c r="R272" i="1"/>
  <c r="T271" i="1"/>
  <c r="S271" i="1"/>
  <c r="R271" i="1"/>
  <c r="T270" i="1"/>
  <c r="S270" i="1"/>
  <c r="R270" i="1"/>
  <c r="T269" i="1"/>
  <c r="S269" i="1"/>
  <c r="R269" i="1"/>
  <c r="T268" i="1"/>
  <c r="S268" i="1"/>
  <c r="R268" i="1"/>
  <c r="T267" i="1"/>
  <c r="S267" i="1"/>
  <c r="R267" i="1"/>
  <c r="T266" i="1"/>
  <c r="S266" i="1"/>
  <c r="R266" i="1"/>
  <c r="T265" i="1"/>
  <c r="S265" i="1"/>
  <c r="R265" i="1"/>
  <c r="T264" i="1"/>
  <c r="S264" i="1"/>
  <c r="R264" i="1"/>
  <c r="T263" i="1"/>
  <c r="S263" i="1"/>
  <c r="R263" i="1"/>
  <c r="T262" i="1"/>
  <c r="S262" i="1"/>
  <c r="R262" i="1"/>
  <c r="T261" i="1"/>
  <c r="S261" i="1"/>
  <c r="R261" i="1"/>
  <c r="T260" i="1"/>
  <c r="S260" i="1"/>
  <c r="R260" i="1"/>
  <c r="T259" i="1"/>
  <c r="S259" i="1"/>
  <c r="R259" i="1"/>
  <c r="T258" i="1"/>
  <c r="S258" i="1"/>
  <c r="R258" i="1"/>
  <c r="T257" i="1"/>
  <c r="S257" i="1"/>
  <c r="R257" i="1"/>
  <c r="T256" i="1"/>
  <c r="S256" i="1"/>
  <c r="R256" i="1"/>
  <c r="T255" i="1"/>
  <c r="S255" i="1"/>
  <c r="R255" i="1"/>
  <c r="T254" i="1"/>
  <c r="S254" i="1"/>
  <c r="R254" i="1"/>
  <c r="T253" i="1"/>
  <c r="S253" i="1"/>
  <c r="R253" i="1"/>
  <c r="T252" i="1"/>
  <c r="S252" i="1"/>
  <c r="R252" i="1"/>
  <c r="T251" i="1"/>
  <c r="S251" i="1"/>
  <c r="R251" i="1"/>
  <c r="T250" i="1"/>
  <c r="S250" i="1"/>
  <c r="R250" i="1"/>
  <c r="T249" i="1"/>
  <c r="S249" i="1"/>
  <c r="R249" i="1"/>
  <c r="T248" i="1"/>
  <c r="S248" i="1"/>
  <c r="R248" i="1"/>
  <c r="T247" i="1"/>
  <c r="S247" i="1"/>
  <c r="R247" i="1"/>
  <c r="T246" i="1"/>
  <c r="S246" i="1"/>
  <c r="R246" i="1"/>
  <c r="T245" i="1"/>
  <c r="S245" i="1"/>
  <c r="R245" i="1"/>
  <c r="T244" i="1"/>
  <c r="S244" i="1"/>
  <c r="R244" i="1"/>
  <c r="T243" i="1"/>
  <c r="S243" i="1"/>
  <c r="R243" i="1"/>
  <c r="T242" i="1"/>
  <c r="S242" i="1"/>
  <c r="R242" i="1"/>
  <c r="T241" i="1"/>
  <c r="S241" i="1"/>
  <c r="R241" i="1"/>
  <c r="T240" i="1"/>
  <c r="S240" i="1"/>
  <c r="R240" i="1"/>
  <c r="T239" i="1"/>
  <c r="S239" i="1"/>
  <c r="R239" i="1"/>
  <c r="T238" i="1"/>
  <c r="S238" i="1"/>
  <c r="R238" i="1"/>
  <c r="T237" i="1"/>
  <c r="S237" i="1"/>
  <c r="R237" i="1"/>
  <c r="T236" i="1"/>
  <c r="S236" i="1"/>
  <c r="R236" i="1"/>
  <c r="T235" i="1"/>
  <c r="S235" i="1"/>
  <c r="R235" i="1"/>
  <c r="T234" i="1"/>
  <c r="S234" i="1"/>
  <c r="R234" i="1"/>
  <c r="T233" i="1"/>
  <c r="S233" i="1"/>
  <c r="R233" i="1"/>
  <c r="T232" i="1"/>
  <c r="S232" i="1"/>
  <c r="R232" i="1"/>
  <c r="T231" i="1"/>
  <c r="S231" i="1"/>
  <c r="R231" i="1"/>
  <c r="T230" i="1"/>
  <c r="S230" i="1"/>
  <c r="R230" i="1"/>
  <c r="T229" i="1"/>
  <c r="S229" i="1"/>
  <c r="R229" i="1"/>
  <c r="T228" i="1"/>
  <c r="S228" i="1"/>
  <c r="R228" i="1"/>
  <c r="T227" i="1"/>
  <c r="S227" i="1"/>
  <c r="R227" i="1"/>
  <c r="T226" i="1"/>
  <c r="S226" i="1"/>
  <c r="R226" i="1"/>
  <c r="T225" i="1"/>
  <c r="S225" i="1"/>
  <c r="R225" i="1"/>
  <c r="T224" i="1"/>
  <c r="S224" i="1"/>
  <c r="R224" i="1"/>
  <c r="T223" i="1"/>
  <c r="S223" i="1"/>
  <c r="R223" i="1"/>
  <c r="T222" i="1"/>
  <c r="S222" i="1"/>
  <c r="R222" i="1"/>
  <c r="T221" i="1"/>
  <c r="S221" i="1"/>
  <c r="R221" i="1"/>
  <c r="T220" i="1"/>
  <c r="S220" i="1"/>
  <c r="R220" i="1"/>
  <c r="T219" i="1"/>
  <c r="S219" i="1"/>
  <c r="R219" i="1"/>
  <c r="T218" i="1"/>
  <c r="S218" i="1"/>
  <c r="R218" i="1"/>
  <c r="T217" i="1"/>
  <c r="S217" i="1"/>
  <c r="R217" i="1"/>
  <c r="T216" i="1"/>
  <c r="S216" i="1"/>
  <c r="R216" i="1"/>
  <c r="T215" i="1"/>
  <c r="S215" i="1"/>
  <c r="R215" i="1"/>
  <c r="T214" i="1"/>
  <c r="S214" i="1"/>
  <c r="R214" i="1"/>
  <c r="T213" i="1"/>
  <c r="S213" i="1"/>
  <c r="R213" i="1"/>
  <c r="T212" i="1"/>
  <c r="S212" i="1"/>
  <c r="R212" i="1"/>
  <c r="T211" i="1"/>
  <c r="S211" i="1"/>
  <c r="R211" i="1"/>
  <c r="T210" i="1"/>
  <c r="S210" i="1"/>
  <c r="R210" i="1"/>
  <c r="T209" i="1"/>
  <c r="S209" i="1"/>
  <c r="R209" i="1"/>
  <c r="T208" i="1"/>
  <c r="S208" i="1"/>
  <c r="R208" i="1"/>
  <c r="T207" i="1"/>
  <c r="S207" i="1"/>
  <c r="R207" i="1"/>
  <c r="T206" i="1"/>
  <c r="S206" i="1"/>
  <c r="R206" i="1"/>
  <c r="T205" i="1"/>
  <c r="S205" i="1"/>
  <c r="R205" i="1"/>
  <c r="T204" i="1"/>
  <c r="S204" i="1"/>
  <c r="R204" i="1"/>
  <c r="T203" i="1"/>
  <c r="S203" i="1"/>
  <c r="R203" i="1"/>
  <c r="T202" i="1"/>
  <c r="S202" i="1"/>
  <c r="R202" i="1"/>
  <c r="T201" i="1"/>
  <c r="S201" i="1"/>
  <c r="R201" i="1"/>
  <c r="T200" i="1"/>
  <c r="S200" i="1"/>
  <c r="R200" i="1"/>
  <c r="T199" i="1"/>
  <c r="S199" i="1"/>
  <c r="R199" i="1"/>
  <c r="T198" i="1"/>
  <c r="S198" i="1"/>
  <c r="R198" i="1"/>
  <c r="T197" i="1"/>
  <c r="S197" i="1"/>
  <c r="R197" i="1"/>
  <c r="T196" i="1"/>
  <c r="S196" i="1"/>
  <c r="R196" i="1"/>
  <c r="T195" i="1"/>
  <c r="S195" i="1"/>
  <c r="R195" i="1"/>
  <c r="T194" i="1"/>
  <c r="S194" i="1"/>
  <c r="R194" i="1"/>
  <c r="T193" i="1"/>
  <c r="S193" i="1"/>
  <c r="R193" i="1"/>
  <c r="T192" i="1"/>
  <c r="S192" i="1"/>
  <c r="R192" i="1"/>
  <c r="T191" i="1"/>
  <c r="S191" i="1"/>
  <c r="R191" i="1"/>
  <c r="T190" i="1"/>
  <c r="S190" i="1"/>
  <c r="R190" i="1"/>
  <c r="T189" i="1"/>
  <c r="S189" i="1"/>
  <c r="R189" i="1"/>
  <c r="T188" i="1"/>
  <c r="S188" i="1"/>
  <c r="R188" i="1"/>
  <c r="T187" i="1"/>
  <c r="S187" i="1"/>
  <c r="R187" i="1"/>
  <c r="T186" i="1"/>
  <c r="S186" i="1"/>
  <c r="R186" i="1"/>
  <c r="T185" i="1"/>
  <c r="S185" i="1"/>
  <c r="R185" i="1"/>
  <c r="T184" i="1"/>
  <c r="S184" i="1"/>
  <c r="R184" i="1"/>
  <c r="T183" i="1"/>
  <c r="S183" i="1"/>
  <c r="R183" i="1"/>
  <c r="T182" i="1"/>
  <c r="S182" i="1"/>
  <c r="R182" i="1"/>
  <c r="T181" i="1"/>
  <c r="S181" i="1"/>
  <c r="R181" i="1"/>
  <c r="T180" i="1"/>
  <c r="S180" i="1"/>
  <c r="R180" i="1"/>
  <c r="T179" i="1"/>
  <c r="S179" i="1"/>
  <c r="R179" i="1"/>
  <c r="T178" i="1"/>
  <c r="S178" i="1"/>
  <c r="R178" i="1"/>
  <c r="T177" i="1"/>
  <c r="S177" i="1"/>
  <c r="R177" i="1"/>
  <c r="T176" i="1"/>
  <c r="S176" i="1"/>
  <c r="R176" i="1"/>
  <c r="T175" i="1"/>
  <c r="S175" i="1"/>
  <c r="R175" i="1"/>
  <c r="T174" i="1"/>
  <c r="S174" i="1"/>
  <c r="R174" i="1"/>
  <c r="T173" i="1"/>
  <c r="S173" i="1"/>
  <c r="R173" i="1"/>
  <c r="T172" i="1"/>
  <c r="S172" i="1"/>
  <c r="R172" i="1"/>
  <c r="T171" i="1"/>
  <c r="S171" i="1"/>
  <c r="R171" i="1"/>
  <c r="T170" i="1"/>
  <c r="S170" i="1"/>
  <c r="R170" i="1"/>
  <c r="T169" i="1"/>
  <c r="S169" i="1"/>
  <c r="R169" i="1"/>
  <c r="T168" i="1"/>
  <c r="S168" i="1"/>
  <c r="R168" i="1"/>
  <c r="T167" i="1"/>
  <c r="S167" i="1"/>
  <c r="R167" i="1"/>
  <c r="T166" i="1"/>
  <c r="S166" i="1"/>
  <c r="R166" i="1"/>
  <c r="T165" i="1"/>
  <c r="S165" i="1"/>
  <c r="R165" i="1"/>
  <c r="T164" i="1"/>
  <c r="S164" i="1"/>
  <c r="R164" i="1"/>
  <c r="T163" i="1"/>
  <c r="S163" i="1"/>
  <c r="R163" i="1"/>
  <c r="T162" i="1"/>
  <c r="S162" i="1"/>
  <c r="R162" i="1"/>
  <c r="T161" i="1"/>
  <c r="S161" i="1"/>
  <c r="R161" i="1"/>
  <c r="T160" i="1"/>
  <c r="S160" i="1"/>
  <c r="R160" i="1"/>
  <c r="T159" i="1"/>
  <c r="S159" i="1"/>
  <c r="R159" i="1"/>
  <c r="T158" i="1"/>
  <c r="S158" i="1"/>
  <c r="R158" i="1"/>
  <c r="T157" i="1"/>
  <c r="S157" i="1"/>
  <c r="R157" i="1"/>
  <c r="T156" i="1"/>
  <c r="S156" i="1"/>
  <c r="R156" i="1"/>
  <c r="T155" i="1"/>
  <c r="S155" i="1"/>
  <c r="R155" i="1"/>
  <c r="T154" i="1"/>
  <c r="S154" i="1"/>
  <c r="R154" i="1"/>
  <c r="T153" i="1"/>
  <c r="S153" i="1"/>
  <c r="R153" i="1"/>
  <c r="T152" i="1"/>
  <c r="S152" i="1"/>
  <c r="R152" i="1"/>
  <c r="T151" i="1"/>
  <c r="S151" i="1"/>
  <c r="R151" i="1"/>
  <c r="T150" i="1"/>
  <c r="S150" i="1"/>
  <c r="R150" i="1"/>
  <c r="T149" i="1"/>
  <c r="S149" i="1"/>
  <c r="R149" i="1"/>
  <c r="T148" i="1"/>
  <c r="S148" i="1"/>
  <c r="R148" i="1"/>
  <c r="T147" i="1"/>
  <c r="S147" i="1"/>
  <c r="R147" i="1"/>
  <c r="T146" i="1"/>
  <c r="S146" i="1"/>
  <c r="R146" i="1"/>
  <c r="T145" i="1"/>
  <c r="S145" i="1"/>
  <c r="R145" i="1"/>
  <c r="T144" i="1"/>
  <c r="S144" i="1"/>
  <c r="R144" i="1"/>
  <c r="T143" i="1"/>
  <c r="S143" i="1"/>
  <c r="R143" i="1"/>
  <c r="T142" i="1"/>
  <c r="S142" i="1"/>
  <c r="R142" i="1"/>
  <c r="T141" i="1"/>
  <c r="S141" i="1"/>
  <c r="R141" i="1"/>
  <c r="T140" i="1"/>
  <c r="S140" i="1"/>
  <c r="R140" i="1"/>
  <c r="T139" i="1"/>
  <c r="S139" i="1"/>
  <c r="R139" i="1"/>
  <c r="T138" i="1"/>
  <c r="S138" i="1"/>
  <c r="R138" i="1"/>
  <c r="T137" i="1"/>
  <c r="S137" i="1"/>
  <c r="R137" i="1"/>
  <c r="T136" i="1"/>
  <c r="S136" i="1"/>
  <c r="R136" i="1"/>
  <c r="T135" i="1"/>
  <c r="S135" i="1"/>
  <c r="R135" i="1"/>
  <c r="T134" i="1"/>
  <c r="S134" i="1"/>
  <c r="R134" i="1"/>
  <c r="T133" i="1"/>
  <c r="S133" i="1"/>
  <c r="R133" i="1"/>
  <c r="T132" i="1"/>
  <c r="S132" i="1"/>
  <c r="R132" i="1"/>
  <c r="T131" i="1"/>
  <c r="S131" i="1"/>
  <c r="R131" i="1"/>
  <c r="T130" i="1"/>
  <c r="S130" i="1"/>
  <c r="R130" i="1"/>
  <c r="T129" i="1"/>
  <c r="S129" i="1"/>
  <c r="R129" i="1"/>
  <c r="T128" i="1"/>
  <c r="S128" i="1"/>
  <c r="R128" i="1"/>
  <c r="T127" i="1"/>
  <c r="S127" i="1"/>
  <c r="R127" i="1"/>
  <c r="T126" i="1"/>
  <c r="S126" i="1"/>
  <c r="R126" i="1"/>
  <c r="T125" i="1"/>
  <c r="S125" i="1"/>
  <c r="R125" i="1"/>
  <c r="T124" i="1"/>
  <c r="S124" i="1"/>
  <c r="R124" i="1"/>
  <c r="T123" i="1"/>
  <c r="S123" i="1"/>
  <c r="R123" i="1"/>
  <c r="T122" i="1"/>
  <c r="S122" i="1"/>
  <c r="R122" i="1"/>
  <c r="T121" i="1"/>
  <c r="S121" i="1"/>
  <c r="R121" i="1"/>
  <c r="T120" i="1"/>
  <c r="S120" i="1"/>
  <c r="R120" i="1"/>
  <c r="T119" i="1"/>
  <c r="S119" i="1"/>
  <c r="R119" i="1"/>
  <c r="T118" i="1"/>
  <c r="S118" i="1"/>
  <c r="R118" i="1"/>
  <c r="T117" i="1"/>
  <c r="S117" i="1"/>
  <c r="R117" i="1"/>
  <c r="T116" i="1"/>
  <c r="S116" i="1"/>
  <c r="R116" i="1"/>
  <c r="T115" i="1"/>
  <c r="S115" i="1"/>
  <c r="R115" i="1"/>
  <c r="T114" i="1"/>
  <c r="S114" i="1"/>
  <c r="R114" i="1"/>
  <c r="T113" i="1"/>
  <c r="S113" i="1"/>
  <c r="R113" i="1"/>
  <c r="T112" i="1"/>
  <c r="S112" i="1"/>
  <c r="R112" i="1"/>
  <c r="T111" i="1"/>
  <c r="S111" i="1"/>
  <c r="R111" i="1"/>
  <c r="T110" i="1"/>
  <c r="S110" i="1"/>
  <c r="R110" i="1"/>
  <c r="T109" i="1"/>
  <c r="S109" i="1"/>
  <c r="R109" i="1"/>
  <c r="T108" i="1"/>
  <c r="S108" i="1"/>
  <c r="R108" i="1"/>
  <c r="T107" i="1"/>
  <c r="S107" i="1"/>
  <c r="R107" i="1"/>
  <c r="T106" i="1"/>
  <c r="S106" i="1"/>
  <c r="R106" i="1"/>
  <c r="T105" i="1"/>
  <c r="S105" i="1"/>
  <c r="R105" i="1"/>
  <c r="T104" i="1"/>
  <c r="S104" i="1"/>
  <c r="R104" i="1"/>
  <c r="T103" i="1"/>
  <c r="S103" i="1"/>
  <c r="R103" i="1"/>
  <c r="T102" i="1"/>
  <c r="S102" i="1"/>
  <c r="R102" i="1"/>
  <c r="T101" i="1"/>
  <c r="S101" i="1"/>
  <c r="R101" i="1"/>
  <c r="T100" i="1"/>
  <c r="S100" i="1"/>
  <c r="R100" i="1"/>
  <c r="T99" i="1"/>
  <c r="S99" i="1"/>
  <c r="R99" i="1"/>
  <c r="T98" i="1"/>
  <c r="S98" i="1"/>
  <c r="R98" i="1"/>
  <c r="T97" i="1"/>
  <c r="S97" i="1"/>
  <c r="R97" i="1"/>
  <c r="T96" i="1"/>
  <c r="S96" i="1"/>
  <c r="R96" i="1"/>
  <c r="T95" i="1"/>
  <c r="S95" i="1"/>
  <c r="R95" i="1"/>
  <c r="T94" i="1"/>
  <c r="S94" i="1"/>
  <c r="R94" i="1"/>
  <c r="T93" i="1"/>
  <c r="S93" i="1"/>
  <c r="R93" i="1"/>
  <c r="T92" i="1"/>
  <c r="S92" i="1"/>
  <c r="R92" i="1"/>
  <c r="T91" i="1"/>
  <c r="S91" i="1"/>
  <c r="R91" i="1"/>
  <c r="T90" i="1"/>
  <c r="S90" i="1"/>
  <c r="R90" i="1"/>
  <c r="T89" i="1"/>
  <c r="S89" i="1"/>
  <c r="R89" i="1"/>
  <c r="T88" i="1"/>
  <c r="S88" i="1"/>
  <c r="R88" i="1"/>
  <c r="T87" i="1"/>
  <c r="S87" i="1"/>
  <c r="R87" i="1"/>
  <c r="T86" i="1"/>
  <c r="S86" i="1"/>
  <c r="R86" i="1"/>
  <c r="T85" i="1"/>
  <c r="S85" i="1"/>
  <c r="R85" i="1"/>
  <c r="T84" i="1"/>
  <c r="S84" i="1"/>
  <c r="R84" i="1"/>
  <c r="T83" i="1"/>
  <c r="S83" i="1"/>
  <c r="R83" i="1"/>
  <c r="T82" i="1"/>
  <c r="S82" i="1"/>
  <c r="R82" i="1"/>
  <c r="T81" i="1"/>
  <c r="S81" i="1"/>
  <c r="R81" i="1"/>
  <c r="T80" i="1"/>
  <c r="S80" i="1"/>
  <c r="R80" i="1"/>
  <c r="T79" i="1"/>
  <c r="S79" i="1"/>
  <c r="R79" i="1"/>
  <c r="T78" i="1"/>
  <c r="S78" i="1"/>
  <c r="R78" i="1"/>
  <c r="T77" i="1"/>
  <c r="S77" i="1"/>
  <c r="R77" i="1"/>
  <c r="T76" i="1"/>
  <c r="S76" i="1"/>
  <c r="R76" i="1"/>
  <c r="T75" i="1"/>
  <c r="S75" i="1"/>
  <c r="R75" i="1"/>
  <c r="T74" i="1"/>
  <c r="S74" i="1"/>
  <c r="R74" i="1"/>
  <c r="T73" i="1"/>
  <c r="S73" i="1"/>
  <c r="R73" i="1"/>
  <c r="T72" i="1"/>
  <c r="S72" i="1"/>
  <c r="R72" i="1"/>
  <c r="T71" i="1"/>
  <c r="S71" i="1"/>
  <c r="R71" i="1"/>
  <c r="T70" i="1"/>
  <c r="S70" i="1"/>
  <c r="R70" i="1"/>
  <c r="T69" i="1"/>
  <c r="S69" i="1"/>
  <c r="R69" i="1"/>
  <c r="T68" i="1"/>
  <c r="S68" i="1"/>
  <c r="R68" i="1"/>
  <c r="T67" i="1"/>
  <c r="S67" i="1"/>
  <c r="R67" i="1"/>
  <c r="T66" i="1"/>
  <c r="S66" i="1"/>
  <c r="R66" i="1"/>
  <c r="T65" i="1"/>
  <c r="S65" i="1"/>
  <c r="R65" i="1"/>
  <c r="T64" i="1"/>
  <c r="S64" i="1"/>
  <c r="R64" i="1"/>
  <c r="T63" i="1"/>
  <c r="S63" i="1"/>
  <c r="R63" i="1"/>
  <c r="T62" i="1"/>
  <c r="S62" i="1"/>
  <c r="R62" i="1"/>
  <c r="T61" i="1"/>
  <c r="S61" i="1"/>
  <c r="R61" i="1"/>
  <c r="T60" i="1"/>
  <c r="S60" i="1"/>
  <c r="R60" i="1"/>
  <c r="T59" i="1"/>
  <c r="S59" i="1"/>
  <c r="R59" i="1"/>
  <c r="T58" i="1"/>
  <c r="S58" i="1"/>
  <c r="R58" i="1"/>
  <c r="T57" i="1"/>
  <c r="S57" i="1"/>
  <c r="R57" i="1"/>
  <c r="T56" i="1"/>
  <c r="S56" i="1"/>
  <c r="R56" i="1"/>
  <c r="T55" i="1"/>
  <c r="S55" i="1"/>
  <c r="R55" i="1"/>
  <c r="T54" i="1"/>
  <c r="S54" i="1"/>
  <c r="R54" i="1"/>
  <c r="T53" i="1"/>
  <c r="S53" i="1"/>
  <c r="R53" i="1"/>
  <c r="T52" i="1"/>
  <c r="S52" i="1"/>
  <c r="R52" i="1"/>
  <c r="T51" i="1"/>
  <c r="S51" i="1"/>
  <c r="R51" i="1"/>
  <c r="T50" i="1"/>
  <c r="S50" i="1"/>
  <c r="R50" i="1"/>
  <c r="T49" i="1"/>
  <c r="S49" i="1"/>
  <c r="R49" i="1"/>
  <c r="T48" i="1"/>
  <c r="S48" i="1"/>
  <c r="R48" i="1"/>
  <c r="T47" i="1"/>
  <c r="S47" i="1"/>
  <c r="R47" i="1"/>
  <c r="T46" i="1"/>
  <c r="S46" i="1"/>
  <c r="R46" i="1"/>
  <c r="T45" i="1"/>
  <c r="S45" i="1"/>
  <c r="R45" i="1"/>
  <c r="T44" i="1"/>
  <c r="S44" i="1"/>
  <c r="R44" i="1"/>
  <c r="T43" i="1"/>
  <c r="S43" i="1"/>
  <c r="R43" i="1"/>
  <c r="T42" i="1"/>
  <c r="S42" i="1"/>
  <c r="R42" i="1"/>
  <c r="T41" i="1"/>
  <c r="S41" i="1"/>
  <c r="R41" i="1"/>
  <c r="T40" i="1"/>
  <c r="S40" i="1"/>
  <c r="R40" i="1"/>
  <c r="T39" i="1"/>
  <c r="S39" i="1"/>
  <c r="R39" i="1"/>
  <c r="T38" i="1"/>
  <c r="S38" i="1"/>
  <c r="R38" i="1"/>
  <c r="T37" i="1"/>
  <c r="S37" i="1"/>
  <c r="R37" i="1"/>
  <c r="T36" i="1"/>
  <c r="S36" i="1"/>
  <c r="R36" i="1"/>
  <c r="T35" i="1"/>
  <c r="S35" i="1"/>
  <c r="R35" i="1"/>
  <c r="T34" i="1"/>
  <c r="S34" i="1"/>
  <c r="R34" i="1"/>
  <c r="T33" i="1"/>
  <c r="S33" i="1"/>
  <c r="R33" i="1"/>
  <c r="T32" i="1"/>
  <c r="S32" i="1"/>
  <c r="R32" i="1"/>
  <c r="T31" i="1"/>
  <c r="S31" i="1"/>
  <c r="R31" i="1"/>
  <c r="T30" i="1"/>
  <c r="S30" i="1"/>
  <c r="R30" i="1"/>
  <c r="T29" i="1"/>
  <c r="S29" i="1"/>
  <c r="R29" i="1"/>
  <c r="T28" i="1"/>
  <c r="S28" i="1"/>
  <c r="R28" i="1"/>
  <c r="T27" i="1"/>
  <c r="S27" i="1"/>
  <c r="R27" i="1"/>
  <c r="T26" i="1"/>
  <c r="S26" i="1"/>
  <c r="R26" i="1"/>
  <c r="T25" i="1"/>
  <c r="S25" i="1"/>
  <c r="R25" i="1"/>
  <c r="T24" i="1"/>
  <c r="S24" i="1"/>
  <c r="R24" i="1"/>
  <c r="T23" i="1"/>
  <c r="S23" i="1"/>
  <c r="R23" i="1"/>
  <c r="T22" i="1"/>
  <c r="S22" i="1"/>
  <c r="R22" i="1"/>
  <c r="T21" i="1"/>
  <c r="S21" i="1"/>
  <c r="R21" i="1"/>
  <c r="T20" i="1"/>
  <c r="S20" i="1"/>
  <c r="R20" i="1"/>
  <c r="T19" i="1"/>
  <c r="S19" i="1"/>
  <c r="R19" i="1"/>
  <c r="T18" i="1"/>
  <c r="S18" i="1"/>
  <c r="R18" i="1"/>
  <c r="T17" i="1"/>
  <c r="S17" i="1"/>
  <c r="R17" i="1"/>
  <c r="T16" i="1"/>
  <c r="S16" i="1"/>
  <c r="R16" i="1"/>
  <c r="T15" i="1"/>
  <c r="S15" i="1"/>
  <c r="R15" i="1"/>
  <c r="T14" i="1"/>
  <c r="S14" i="1"/>
  <c r="R14" i="1"/>
  <c r="T13" i="1"/>
  <c r="S13" i="1"/>
  <c r="R13" i="1"/>
  <c r="T12" i="1"/>
  <c r="S12" i="1"/>
  <c r="R12" i="1"/>
  <c r="T11" i="1"/>
  <c r="S11" i="1"/>
  <c r="R11" i="1"/>
  <c r="T10" i="1"/>
  <c r="S10" i="1"/>
  <c r="R10" i="1"/>
  <c r="T9" i="1"/>
  <c r="S9" i="1"/>
  <c r="R9" i="1"/>
  <c r="T8" i="1"/>
  <c r="S8" i="1"/>
  <c r="R8" i="1"/>
  <c r="T7" i="1"/>
  <c r="S7" i="1"/>
  <c r="R7" i="1"/>
  <c r="T6" i="1"/>
  <c r="S6" i="1"/>
  <c r="R6" i="1"/>
  <c r="T5" i="1"/>
  <c r="S5" i="1"/>
  <c r="R5" i="1"/>
  <c r="T4" i="1"/>
  <c r="S4" i="1"/>
  <c r="R4" i="1"/>
  <c r="T3" i="1"/>
  <c r="S3" i="1"/>
  <c r="R3" i="1"/>
  <c r="T2" i="1"/>
  <c r="S2" i="1"/>
  <c r="R2" i="1"/>
</calcChain>
</file>

<file path=xl/sharedStrings.xml><?xml version="1.0" encoding="utf-8"?>
<sst xmlns="http://schemas.openxmlformats.org/spreadsheetml/2006/main" count="1782" uniqueCount="411">
  <si>
    <t>eval</t>
  </si>
  <si>
    <t>Genotype</t>
  </si>
  <si>
    <t>BI</t>
  </si>
  <si>
    <t>BI_ilink</t>
  </si>
  <si>
    <t>Uhat_SInd</t>
  </si>
  <si>
    <t>Sind</t>
  </si>
  <si>
    <t>Sind_ilink</t>
  </si>
  <si>
    <t>Keep</t>
  </si>
  <si>
    <t>Q1</t>
  </si>
  <si>
    <t>Q2</t>
  </si>
  <si>
    <t>Q3</t>
  </si>
  <si>
    <t>Q4</t>
  </si>
  <si>
    <t>Diatraea_SAM_11</t>
  </si>
  <si>
    <t>S3</t>
  </si>
  <si>
    <t>Conservar</t>
  </si>
  <si>
    <t>Diatraea_SAM_15b</t>
  </si>
  <si>
    <t>Diatraea_Validation._V1</t>
  </si>
  <si>
    <t>Diatraea_Validation._V2</t>
  </si>
  <si>
    <t>Diatraea_Validation._V3</t>
  </si>
  <si>
    <t>Diatraea_Validation._V4</t>
  </si>
  <si>
    <t>Diatraea_Validation._V5</t>
  </si>
  <si>
    <t>Diatraea_Validation._V6-V5</t>
  </si>
  <si>
    <t>SCC_3</t>
  </si>
  <si>
    <t>Diatraea_Validation._V7-V5</t>
  </si>
  <si>
    <t>Diatraea_Validation._V8-V7</t>
  </si>
  <si>
    <t>Diatraea_Validation._V8-V9</t>
  </si>
  <si>
    <t>Diatraea_Validation._V9</t>
  </si>
  <si>
    <t>Diatraea_SAM_6</t>
  </si>
  <si>
    <t>S188</t>
  </si>
  <si>
    <t>Diatraea_SAM_8</t>
  </si>
  <si>
    <t>S140</t>
  </si>
  <si>
    <t>Diatraea_SAM_7</t>
  </si>
  <si>
    <t>S103</t>
  </si>
  <si>
    <t>Diatraea_SAM_2</t>
  </si>
  <si>
    <t>S2</t>
  </si>
  <si>
    <t>Diatraea_SAM_9</t>
  </si>
  <si>
    <t>S139</t>
  </si>
  <si>
    <t>S105</t>
  </si>
  <si>
    <t>Diatraea_SAM_17</t>
  </si>
  <si>
    <t>S7</t>
  </si>
  <si>
    <t>S117</t>
  </si>
  <si>
    <t>S1</t>
  </si>
  <si>
    <t>Diatraea_SAM_15</t>
  </si>
  <si>
    <t>S161</t>
  </si>
  <si>
    <t>S24</t>
  </si>
  <si>
    <t>Diatraea_SAM_12</t>
  </si>
  <si>
    <t>S160</t>
  </si>
  <si>
    <t>S138</t>
  </si>
  <si>
    <t>Diatraea_SAM_1</t>
  </si>
  <si>
    <t>S177</t>
  </si>
  <si>
    <t>Diatraea_SAM_18</t>
  </si>
  <si>
    <t>S47</t>
  </si>
  <si>
    <t>S37</t>
  </si>
  <si>
    <t>S159</t>
  </si>
  <si>
    <t>Diatraea_SAM_14</t>
  </si>
  <si>
    <t>S15</t>
  </si>
  <si>
    <t>S75</t>
  </si>
  <si>
    <t>S84</t>
  </si>
  <si>
    <t>Diatraea_SAM_4</t>
  </si>
  <si>
    <t>S70</t>
  </si>
  <si>
    <t>S182</t>
  </si>
  <si>
    <t>S30</t>
  </si>
  <si>
    <t>Diatraea_SAM_24</t>
  </si>
  <si>
    <t>S218</t>
  </si>
  <si>
    <t>S36</t>
  </si>
  <si>
    <t>Diatraea_SAM_10</t>
  </si>
  <si>
    <t>S168</t>
  </si>
  <si>
    <t>S163</t>
  </si>
  <si>
    <t>S87</t>
  </si>
  <si>
    <t>S28</t>
  </si>
  <si>
    <t>S5</t>
  </si>
  <si>
    <t>S194</t>
  </si>
  <si>
    <t>S46</t>
  </si>
  <si>
    <t>S127</t>
  </si>
  <si>
    <t>S69</t>
  </si>
  <si>
    <t>S201</t>
  </si>
  <si>
    <t>S79</t>
  </si>
  <si>
    <t>S113</t>
  </si>
  <si>
    <t>Diatraea_SAM_16</t>
  </si>
  <si>
    <t>S19</t>
  </si>
  <si>
    <t>S23</t>
  </si>
  <si>
    <t>Diatraea_SAM_13</t>
  </si>
  <si>
    <t>S61</t>
  </si>
  <si>
    <t>S12</t>
  </si>
  <si>
    <t>S169</t>
  </si>
  <si>
    <t>S172</t>
  </si>
  <si>
    <t>S183</t>
  </si>
  <si>
    <t>S65</t>
  </si>
  <si>
    <t>S59</t>
  </si>
  <si>
    <t>Diatraea_SAM_5</t>
  </si>
  <si>
    <t>S62</t>
  </si>
  <si>
    <t>S77</t>
  </si>
  <si>
    <t>S154</t>
  </si>
  <si>
    <t>S148</t>
  </si>
  <si>
    <t>S56</t>
  </si>
  <si>
    <t>S11</t>
  </si>
  <si>
    <t>S153</t>
  </si>
  <si>
    <t>S203</t>
  </si>
  <si>
    <t>S96</t>
  </si>
  <si>
    <t>S51</t>
  </si>
  <si>
    <t>S81</t>
  </si>
  <si>
    <t>S74</t>
  </si>
  <si>
    <t>S42</t>
  </si>
  <si>
    <t>S25</t>
  </si>
  <si>
    <t>S68</t>
  </si>
  <si>
    <t>S191</t>
  </si>
  <si>
    <t>S112</t>
  </si>
  <si>
    <t>S205</t>
  </si>
  <si>
    <t>S181</t>
  </si>
  <si>
    <t>S90</t>
  </si>
  <si>
    <t>S45</t>
  </si>
  <si>
    <t>S10</t>
  </si>
  <si>
    <t>S206</t>
  </si>
  <si>
    <t>S152</t>
  </si>
  <si>
    <t>S134</t>
  </si>
  <si>
    <t>S137</t>
  </si>
  <si>
    <t>S124</t>
  </si>
  <si>
    <t>S179</t>
  </si>
  <si>
    <t>S185</t>
  </si>
  <si>
    <t>S202</t>
  </si>
  <si>
    <t>S91</t>
  </si>
  <si>
    <t>S155</t>
  </si>
  <si>
    <t>S219</t>
  </si>
  <si>
    <t>S67</t>
  </si>
  <si>
    <t>S50</t>
  </si>
  <si>
    <t>S14</t>
  </si>
  <si>
    <t>S197</t>
  </si>
  <si>
    <t>S129</t>
  </si>
  <si>
    <t>S99</t>
  </si>
  <si>
    <t>S18</t>
  </si>
  <si>
    <t>S173</t>
  </si>
  <si>
    <t>S162</t>
  </si>
  <si>
    <t>S133</t>
  </si>
  <si>
    <t>S82</t>
  </si>
  <si>
    <t>S57</t>
  </si>
  <si>
    <t>S63</t>
  </si>
  <si>
    <t>S196</t>
  </si>
  <si>
    <t>S141</t>
  </si>
  <si>
    <t>S94</t>
  </si>
  <si>
    <t>S199</t>
  </si>
  <si>
    <t>S123</t>
  </si>
  <si>
    <t>S126</t>
  </si>
  <si>
    <t>S215</t>
  </si>
  <si>
    <t>S119</t>
  </si>
  <si>
    <t>S22</t>
  </si>
  <si>
    <t>S93</t>
  </si>
  <si>
    <t>S34</t>
  </si>
  <si>
    <t>S101</t>
  </si>
  <si>
    <t>S29</t>
  </si>
  <si>
    <t>S184</t>
  </si>
  <si>
    <t>S85</t>
  </si>
  <si>
    <t>S80</t>
  </si>
  <si>
    <t>S189</t>
  </si>
  <si>
    <t>S58</t>
  </si>
  <si>
    <t>SCC_58</t>
  </si>
  <si>
    <t>S195</t>
  </si>
  <si>
    <t>S109</t>
  </si>
  <si>
    <t>S171</t>
  </si>
  <si>
    <t>S149</t>
  </si>
  <si>
    <t>S198</t>
  </si>
  <si>
    <t>S210</t>
  </si>
  <si>
    <t>S211</t>
  </si>
  <si>
    <t>S120</t>
  </si>
  <si>
    <t>S104</t>
  </si>
  <si>
    <t>S8</t>
  </si>
  <si>
    <t>S43</t>
  </si>
  <si>
    <t>S98</t>
  </si>
  <si>
    <t>S135</t>
  </si>
  <si>
    <t>S122</t>
  </si>
  <si>
    <t>S40</t>
  </si>
  <si>
    <t>S125</t>
  </si>
  <si>
    <t>S83</t>
  </si>
  <si>
    <t>S31</t>
  </si>
  <si>
    <t>S180</t>
  </si>
  <si>
    <t>S146</t>
  </si>
  <si>
    <t>S27</t>
  </si>
  <si>
    <t>S86</t>
  </si>
  <si>
    <t>S164</t>
  </si>
  <si>
    <t>S209</t>
  </si>
  <si>
    <t>S200</t>
  </si>
  <si>
    <t>S39</t>
  </si>
  <si>
    <t>S116</t>
  </si>
  <si>
    <t>S186</t>
  </si>
  <si>
    <t>S9</t>
  </si>
  <si>
    <t>S106</t>
  </si>
  <si>
    <t>S17</t>
  </si>
  <si>
    <t>S6</t>
  </si>
  <si>
    <t>S212</t>
  </si>
  <si>
    <t>S111</t>
  </si>
  <si>
    <t>S88</t>
  </si>
  <si>
    <t>S204</t>
  </si>
  <si>
    <t>S41</t>
  </si>
  <si>
    <t>S192</t>
  </si>
  <si>
    <t>S44</t>
  </si>
  <si>
    <t>S130</t>
  </si>
  <si>
    <t>S176</t>
  </si>
  <si>
    <t>S217</t>
  </si>
  <si>
    <t>S143</t>
  </si>
  <si>
    <t>S145</t>
  </si>
  <si>
    <t>S151</t>
  </si>
  <si>
    <t>S115</t>
  </si>
  <si>
    <t>S170</t>
  </si>
  <si>
    <t>S175</t>
  </si>
  <si>
    <t>S187</t>
  </si>
  <si>
    <t>S100</t>
  </si>
  <si>
    <t>S60</t>
  </si>
  <si>
    <t>S166</t>
  </si>
  <si>
    <t>S216</t>
  </si>
  <si>
    <t>S150</t>
  </si>
  <si>
    <t>S208</t>
  </si>
  <si>
    <t>S35</t>
  </si>
  <si>
    <t>S38</t>
  </si>
  <si>
    <t>S89</t>
  </si>
  <si>
    <t>S95</t>
  </si>
  <si>
    <t>S156</t>
  </si>
  <si>
    <t>S64</t>
  </si>
  <si>
    <t>S174</t>
  </si>
  <si>
    <t>S53</t>
  </si>
  <si>
    <t>S13</t>
  </si>
  <si>
    <t>S52</t>
  </si>
  <si>
    <t>S157</t>
  </si>
  <si>
    <t>S72</t>
  </si>
  <si>
    <t>S158</t>
  </si>
  <si>
    <t>S178</t>
  </si>
  <si>
    <t>S92</t>
  </si>
  <si>
    <t>S76</t>
  </si>
  <si>
    <t>S48</t>
  </si>
  <si>
    <t>S49</t>
  </si>
  <si>
    <t>S16</t>
  </si>
  <si>
    <t>S26</t>
  </si>
  <si>
    <t>S66</t>
  </si>
  <si>
    <t>S33</t>
  </si>
  <si>
    <t>S71</t>
  </si>
  <si>
    <t>S54</t>
  </si>
  <si>
    <t>S144</t>
  </si>
  <si>
    <t>S147</t>
  </si>
  <si>
    <t>S78</t>
  </si>
  <si>
    <t>S108</t>
  </si>
  <si>
    <t>S55</t>
  </si>
  <si>
    <t>S132</t>
  </si>
  <si>
    <t>S136</t>
  </si>
  <si>
    <t>S214</t>
  </si>
  <si>
    <t>S142</t>
  </si>
  <si>
    <t>S110</t>
  </si>
  <si>
    <t>S167</t>
  </si>
  <si>
    <t>S128</t>
  </si>
  <si>
    <t>S193</t>
  </si>
  <si>
    <t>S221</t>
  </si>
  <si>
    <t>S107</t>
  </si>
  <si>
    <t>S73</t>
  </si>
  <si>
    <t>S121</t>
  </si>
  <si>
    <t>S32</t>
  </si>
  <si>
    <t>S21</t>
  </si>
  <si>
    <t>S220</t>
  </si>
  <si>
    <t>S4</t>
  </si>
  <si>
    <t>S131</t>
  </si>
  <si>
    <t>S20</t>
  </si>
  <si>
    <t>S190</t>
  </si>
  <si>
    <t>S207</t>
  </si>
  <si>
    <t>S114</t>
  </si>
  <si>
    <t>S165</t>
  </si>
  <si>
    <t>S118</t>
  </si>
  <si>
    <t>S97</t>
  </si>
  <si>
    <t>S102</t>
  </si>
  <si>
    <t>SCC10</t>
  </si>
  <si>
    <t>SCC101</t>
  </si>
  <si>
    <t>SCC103</t>
  </si>
  <si>
    <t>SCC105</t>
  </si>
  <si>
    <t>SCC106</t>
  </si>
  <si>
    <t>SCC113</t>
  </si>
  <si>
    <t>SCC114</t>
  </si>
  <si>
    <t>SCC115</t>
  </si>
  <si>
    <t>SCC116</t>
  </si>
  <si>
    <t>SCC117</t>
  </si>
  <si>
    <t>SCC121</t>
  </si>
  <si>
    <t>SCC123</t>
  </si>
  <si>
    <t>SCC124</t>
  </si>
  <si>
    <t>SCC126</t>
  </si>
  <si>
    <t>SCC128</t>
  </si>
  <si>
    <t>SCC129</t>
  </si>
  <si>
    <t>SCC13</t>
  </si>
  <si>
    <t>SCC130</t>
  </si>
  <si>
    <t>SCC132</t>
  </si>
  <si>
    <t>SCC133</t>
  </si>
  <si>
    <t>SCC136</t>
  </si>
  <si>
    <t>SCC137</t>
  </si>
  <si>
    <t>SCC138</t>
  </si>
  <si>
    <t>SCC139</t>
  </si>
  <si>
    <t>SCC140</t>
  </si>
  <si>
    <t>SCC142</t>
  </si>
  <si>
    <t>SCC143</t>
  </si>
  <si>
    <t>SCC144</t>
  </si>
  <si>
    <t>SCC145</t>
  </si>
  <si>
    <t>SCC146</t>
  </si>
  <si>
    <t>SCC148</t>
  </si>
  <si>
    <t>SCC149</t>
  </si>
  <si>
    <t>SCC15</t>
  </si>
  <si>
    <t>SCC153</t>
  </si>
  <si>
    <t>SCC154</t>
  </si>
  <si>
    <t>SCC155</t>
  </si>
  <si>
    <t>SCC156</t>
  </si>
  <si>
    <t>SCC157</t>
  </si>
  <si>
    <t>SCC159</t>
  </si>
  <si>
    <t>SCC160</t>
  </si>
  <si>
    <t>SCC161</t>
  </si>
  <si>
    <t>SCC162</t>
  </si>
  <si>
    <t>SCC163</t>
  </si>
  <si>
    <t>SCC164</t>
  </si>
  <si>
    <t>SCC165</t>
  </si>
  <si>
    <t>SCC166</t>
  </si>
  <si>
    <t>SCC167</t>
  </si>
  <si>
    <t>SCC168</t>
  </si>
  <si>
    <t>SCC171</t>
  </si>
  <si>
    <t>SCC174</t>
  </si>
  <si>
    <t>SCC175</t>
  </si>
  <si>
    <t>SCC176</t>
  </si>
  <si>
    <t>SCC177</t>
  </si>
  <si>
    <t>SCC18</t>
  </si>
  <si>
    <t>SCC180</t>
  </si>
  <si>
    <t>SCC182</t>
  </si>
  <si>
    <t>SCC183</t>
  </si>
  <si>
    <t>SCC184</t>
  </si>
  <si>
    <t>SCC185</t>
  </si>
  <si>
    <t>SCC186</t>
  </si>
  <si>
    <t>SCC19</t>
  </si>
  <si>
    <t>SCC190</t>
  </si>
  <si>
    <t>SCC2</t>
  </si>
  <si>
    <t>SCC21</t>
  </si>
  <si>
    <t>SCC22</t>
  </si>
  <si>
    <t>SCC24</t>
  </si>
  <si>
    <t>SCC26</t>
  </si>
  <si>
    <t>SCC27</t>
  </si>
  <si>
    <t>SCC275</t>
  </si>
  <si>
    <t>SCC276</t>
  </si>
  <si>
    <t>SCC277</t>
  </si>
  <si>
    <t>SCC278</t>
  </si>
  <si>
    <t>SCC279</t>
  </si>
  <si>
    <t>SCC283</t>
  </si>
  <si>
    <t>SCC284</t>
  </si>
  <si>
    <t>SCC285</t>
  </si>
  <si>
    <t>SCC287</t>
  </si>
  <si>
    <t>SCC288</t>
  </si>
  <si>
    <t>SCC294</t>
  </si>
  <si>
    <t>SCC295</t>
  </si>
  <si>
    <t>SCC296</t>
  </si>
  <si>
    <t>SCC299</t>
  </si>
  <si>
    <t>SCC3</t>
  </si>
  <si>
    <t>SCC305</t>
  </si>
  <si>
    <t>SCC32</t>
  </si>
  <si>
    <t>SCC324</t>
  </si>
  <si>
    <t>SCC326</t>
  </si>
  <si>
    <t>SCC34</t>
  </si>
  <si>
    <t>SCC35</t>
  </si>
  <si>
    <t>SCC37</t>
  </si>
  <si>
    <t>SCC38</t>
  </si>
  <si>
    <t>SCC40</t>
  </si>
  <si>
    <t>SCC41</t>
  </si>
  <si>
    <t>SCC43</t>
  </si>
  <si>
    <t>SCC44</t>
  </si>
  <si>
    <t>SCC45</t>
  </si>
  <si>
    <t>SCC50</t>
  </si>
  <si>
    <t>SCC51</t>
  </si>
  <si>
    <t>SCC54</t>
  </si>
  <si>
    <t>SCC56</t>
  </si>
  <si>
    <t>SCC57</t>
  </si>
  <si>
    <t>SCC58</t>
  </si>
  <si>
    <t>SCC6</t>
  </si>
  <si>
    <t>SCC66</t>
  </si>
  <si>
    <t>SCC67</t>
  </si>
  <si>
    <t>SCC68</t>
  </si>
  <si>
    <t>SCC69</t>
  </si>
  <si>
    <t>SCC70</t>
  </si>
  <si>
    <t>SCC71</t>
  </si>
  <si>
    <t>SCC72</t>
  </si>
  <si>
    <t>SCC74</t>
  </si>
  <si>
    <t>SCC75</t>
  </si>
  <si>
    <t>SCC76</t>
  </si>
  <si>
    <t>SCC77</t>
  </si>
  <si>
    <t>SCC78</t>
  </si>
  <si>
    <t>SCC79</t>
  </si>
  <si>
    <t>SCC8</t>
  </si>
  <si>
    <t>SCC80</t>
  </si>
  <si>
    <t>SCC81</t>
  </si>
  <si>
    <t>SCC84</t>
  </si>
  <si>
    <t>SCC88</t>
  </si>
  <si>
    <t>SCC90</t>
  </si>
  <si>
    <t>SCC91</t>
  </si>
  <si>
    <t>SCC92</t>
  </si>
  <si>
    <t>SCC93</t>
  </si>
  <si>
    <t>SCC94</t>
  </si>
  <si>
    <t>SCC96</t>
  </si>
  <si>
    <t>SCC99</t>
  </si>
  <si>
    <t>Eval_Sind</t>
  </si>
  <si>
    <t>Eval_BI</t>
  </si>
  <si>
    <t>Population</t>
  </si>
  <si>
    <t>Discovery</t>
  </si>
  <si>
    <t>Validation</t>
  </si>
  <si>
    <t>Valores</t>
  </si>
  <si>
    <t>Promedio de Feno_BI_ilink</t>
  </si>
  <si>
    <t>Promedio de Feno_Sind_ilink</t>
  </si>
  <si>
    <t>Promedio de DSI_Feno_ilink</t>
  </si>
  <si>
    <t>Uhat_BI</t>
  </si>
  <si>
    <t>Mu_BI</t>
  </si>
  <si>
    <t>Mu_Sind</t>
  </si>
  <si>
    <t>DSI_general_ilink</t>
  </si>
  <si>
    <t>DSI_Uhat_general</t>
  </si>
  <si>
    <t>DSI_BLUP_general</t>
  </si>
  <si>
    <t>BLUP_BI</t>
  </si>
  <si>
    <t>BLUP_BI_Ilink</t>
  </si>
  <si>
    <t>BLUP_SInd</t>
  </si>
  <si>
    <t>BLUP_SInd_Ilink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</si>
</sst>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0" fillId="0" borderId="0" xfId="0" pivotButton="1"/>
    <xf numFmtId="2" fontId="0" fillId="0" borderId="0" xfId="0" applyNumberFormat="1"/>
    <xf numFmtId="1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3">
    <dxf>
      <numFmt numFmtId="14" formatCode="0.00%"/>
    </dxf>
    <dxf>
      <numFmt numFmtId="2" formatCode="0.00"/>
    </dxf>
    <dxf>
      <numFmt numFmtId="164" formatCode="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iotec1" refreshedDate="46220.387625810188" createdVersion="8" refreshedVersion="8" minRefreshableVersion="3" recordCount="455" xr:uid="{D2958BDC-EAD5-48E3-AC4B-B0B2991935E6}">
  <cacheSource type="worksheet">
    <worksheetSource ref="A1:X351" sheet="FENOTIPOS_GWAS_BINOMIAL_DSI"/>
  </cacheSource>
  <cacheFields count="27">
    <cacheField name="Population" numFmtId="0">
      <sharedItems count="2">
        <s v="Discovery"/>
        <s v="Validation"/>
      </sharedItems>
    </cacheField>
    <cacheField name="eval" numFmtId="0">
      <sharedItems/>
    </cacheField>
    <cacheField name="Genotype" numFmtId="0">
      <sharedItems containsMixedTypes="1" containsNumber="1" containsInteger="1" minValue="1" maxValue="12" count="362">
        <s v="S177"/>
        <s v="S29"/>
        <s v="S58"/>
        <s v="S59"/>
        <s v="S76"/>
        <s v="S118"/>
        <s v="S128"/>
        <s v="S157"/>
        <s v="S168"/>
        <s v="S169"/>
        <s v="S179"/>
        <s v="S206"/>
        <s v="S208"/>
        <s v="S220"/>
        <s v="S26"/>
        <s v="S27"/>
        <s v="S31"/>
        <s v="S87"/>
        <s v="S91"/>
        <s v="S104"/>
        <s v="S142"/>
        <s v="S164"/>
        <s v="S171"/>
        <s v="S174"/>
        <s v="S180"/>
        <s v="S184"/>
        <s v="S215"/>
        <s v="S3"/>
        <s v="S63"/>
        <s v="S66"/>
        <s v="S85"/>
        <s v="S90"/>
        <s v="S98"/>
        <s v="S120"/>
        <s v="S156"/>
        <s v="S160"/>
        <s v="S173"/>
        <s v="S175"/>
        <s v="S176"/>
        <s v="S191"/>
        <s v="S212"/>
        <s v="S219"/>
        <s v="S57"/>
        <s v="S79"/>
        <s v="S82"/>
        <s v="S88"/>
        <s v="S9"/>
        <s v="S109"/>
        <s v="S110"/>
        <s v="S112"/>
        <s v="S115"/>
        <s v="S122"/>
        <s v="S126"/>
        <s v="S149"/>
        <s v="S151"/>
        <s v="S166"/>
        <s v="S195"/>
        <s v="S44"/>
        <s v="S51"/>
        <s v="S61"/>
        <s v="S71"/>
        <s v="S100"/>
        <s v="S15"/>
        <s v="S189"/>
        <s v="S190"/>
        <s v="S194"/>
        <s v="S196"/>
        <s v="S198"/>
        <s v="S203"/>
        <s v="S5"/>
        <s v="S74"/>
        <s v="S81"/>
        <s v="S96"/>
        <s v="S97"/>
        <s v="S99"/>
        <s v="S116"/>
        <s v="S119"/>
        <s v="S131"/>
        <s v="S144"/>
        <s v="S146"/>
        <s v="S147"/>
        <s v="S159"/>
        <s v="S161"/>
        <s v="S183"/>
        <s v="S204"/>
        <s v="S217"/>
        <s v="S30"/>
        <s v="S69"/>
        <s v="S202"/>
        <s v="S93"/>
        <s v="S106"/>
        <s v="S129"/>
        <s v="S130"/>
        <s v="S132"/>
        <s v="S186"/>
        <s v="S19"/>
        <s v="S20"/>
        <s v="S200"/>
        <s v="S216"/>
        <s v="S42"/>
        <s v="S43"/>
        <s v="S78"/>
        <s v="S89"/>
        <s v="S10"/>
        <s v="S125"/>
        <s v="S134"/>
        <s v="S136"/>
        <s v="S158"/>
        <s v="S163"/>
        <s v="S167"/>
        <s v="S25"/>
        <s v="S38"/>
        <s v="S4"/>
        <s v="S6"/>
        <s v="S7"/>
        <s v="S92"/>
        <s v="S95"/>
        <s v="S101"/>
        <s v="S14"/>
        <s v="S143"/>
        <s v="S17"/>
        <s v="S170"/>
        <s v="S192"/>
        <s v="S193"/>
        <s v="S201"/>
        <s v="S209"/>
        <s v="S34"/>
        <s v="S41"/>
        <s v="S47"/>
        <s v="S8"/>
        <s v="S80"/>
        <s v="S1"/>
        <s v="S105"/>
        <s v="S117"/>
        <s v="S2"/>
        <s v="S86"/>
        <s v="S12"/>
        <s v="S13"/>
        <s v="S137"/>
        <s v="S218"/>
        <s v="S221"/>
        <s v="S32"/>
        <s v="S94"/>
        <s v="S108"/>
        <s v="S123"/>
        <s v="S127"/>
        <s v="S182"/>
        <s v="S199"/>
        <s v="S22"/>
        <s v="S49"/>
        <s v="S52"/>
        <s v="S55"/>
        <s v="S65"/>
        <s v="S67"/>
        <s v="S68"/>
        <s v="S70"/>
        <s v="S77"/>
        <s v="S102"/>
        <s v="S107"/>
        <s v="S114"/>
        <s v="S141"/>
        <s v="S150"/>
        <s v="S153"/>
        <s v="S155"/>
        <s v="S165"/>
        <s v="S18"/>
        <s v="S187"/>
        <s v="S197"/>
        <s v="S39"/>
        <s v="S50"/>
        <s v="S60"/>
        <s v="S11"/>
        <s v="S113"/>
        <s v="S121"/>
        <s v="S178"/>
        <s v="S188"/>
        <s v="S205"/>
        <s v="S214"/>
        <s v="S24"/>
        <s v="S33"/>
        <s v="S46"/>
        <s v="S56"/>
        <s v="S103"/>
        <s v="S124"/>
        <s v="S135"/>
        <s v="S152"/>
        <s v="S154"/>
        <s v="S16"/>
        <s v="S21"/>
        <s v="S210"/>
        <s v="S211"/>
        <s v="S23"/>
        <s v="S28"/>
        <s v="S37"/>
        <s v="S40"/>
        <s v="S75"/>
        <s v="S133"/>
        <s v="S140"/>
        <s v="S145"/>
        <s v="S162"/>
        <s v="S207"/>
        <s v="S48"/>
        <s v="S64"/>
        <s v="S73"/>
        <s v="S83"/>
        <s v="S84"/>
        <s v="S111"/>
        <s v="S138"/>
        <s v="S139"/>
        <s v="S148"/>
        <s v="S172"/>
        <s v="S181"/>
        <s v="S185"/>
        <s v="S35"/>
        <s v="S36"/>
        <s v="S45"/>
        <s v="S53"/>
        <s v="S54"/>
        <s v="S62"/>
        <s v="S72"/>
        <s v="SCC103"/>
        <s v="SCC115"/>
        <s v="SCC116"/>
        <s v="SCC117"/>
        <s v="SCC136"/>
        <s v="SCC156"/>
        <s v="SCC157"/>
        <s v="SCC54"/>
        <s v="SCC72"/>
        <s v="SCC76"/>
        <s v="SCC84"/>
        <s v="SCC88"/>
        <s v="SCC93"/>
        <s v="SCC99"/>
        <s v="SCC101"/>
        <s v="SCC106"/>
        <s v="SCC124"/>
        <s v="SCC128"/>
        <s v="SCC168"/>
        <s v="SCC18"/>
        <s v="SCC19"/>
        <s v="SCC190"/>
        <s v="SCC2"/>
        <s v="SCC22"/>
        <s v="SCC50"/>
        <s v="SCC51"/>
        <s v="SCC57"/>
        <s v="SCC79"/>
        <n v="11"/>
        <s v="SCC_58"/>
        <s v="SCC114"/>
        <s v="SCC121"/>
        <s v="SCC132"/>
        <s v="SCC153"/>
        <s v="SCC159"/>
        <s v="SCC171"/>
        <s v="SCC21"/>
        <s v="SCC24"/>
        <s v="SCC305"/>
        <s v="SCC58"/>
        <s v="SCC6"/>
        <s v="SCC68"/>
        <s v="SCC69"/>
        <n v="12"/>
        <s v="SCC129"/>
        <s v="SCC145"/>
        <s v="SCC148"/>
        <s v="SCC166"/>
        <s v="SCC26"/>
        <s v="SCC27"/>
        <s v="SCC35"/>
        <s v="SCC45"/>
        <s v="SCC70"/>
        <s v="SCC71"/>
        <s v="SCC77"/>
        <s v="SCC78"/>
        <s v="SCC80"/>
        <n v="4"/>
        <n v="5"/>
        <s v="SCC105"/>
        <s v="SCC142"/>
        <s v="SCC143"/>
        <s v="SCC149"/>
        <s v="SCC180"/>
        <s v="SCC183"/>
        <s v="SCC185"/>
        <s v="SCC41"/>
        <s v="SCC43"/>
        <s v="SCC56"/>
        <s v="SCC67"/>
        <s v="SCC94"/>
        <n v="1"/>
        <n v="2"/>
        <n v="6"/>
        <s v="SCC_3"/>
        <s v="SCC133"/>
        <s v="SCC174"/>
        <s v="SCC175"/>
        <s v="SCC176"/>
        <s v="SCC177"/>
        <s v="SCC326"/>
        <s v="SCC38"/>
        <s v="SCC66"/>
        <s v="SCC74"/>
        <s v="SCC8"/>
        <s v="SCC91"/>
        <n v="3"/>
        <n v="7"/>
        <n v="8"/>
        <s v="SCC154"/>
        <s v="SCC162"/>
        <s v="SCC163"/>
        <s v="SCC164"/>
        <s v="SCC182"/>
        <s v="SCC184"/>
        <s v="SCC186"/>
        <s v="SCC3"/>
        <s v="SCC75"/>
        <s v="SCC92"/>
        <s v="SCC96"/>
        <s v="SCC10"/>
        <s v="SCC130"/>
        <s v="SCC140"/>
        <s v="SCC160"/>
        <s v="SCC165"/>
        <s v="SCC167"/>
        <s v="SCC276"/>
        <s v="SCC277"/>
        <s v="SCC278"/>
        <s v="SCC287"/>
        <s v="SCC294"/>
        <s v="SCC40"/>
        <s v="SCC44"/>
        <s v="SCC90"/>
        <n v="10"/>
        <s v="SCC113"/>
        <s v="SCC126"/>
        <s v="SCC146"/>
        <s v="SCC15"/>
        <s v="SCC155"/>
        <s v="SCC161"/>
        <s v="SCC275"/>
        <s v="SCC295"/>
        <s v="SCC296"/>
        <s v="SCC32"/>
        <s v="SCC324"/>
        <s v="SCC37"/>
        <s v="SCC81"/>
        <n v="9"/>
        <s v="SCC123"/>
        <s v="SCC13"/>
        <s v="SCC137"/>
        <s v="SCC138"/>
        <s v="SCC139"/>
        <s v="SCC144"/>
        <s v="SCC279"/>
        <s v="SCC283"/>
        <s v="SCC284"/>
        <s v="SCC285"/>
        <s v="SCC288"/>
        <s v="SCC299"/>
        <s v="SCC34"/>
      </sharedItems>
    </cacheField>
    <cacheField name="Uha_tBI" numFmtId="0">
      <sharedItems containsSemiMixedTypes="0" containsString="0" containsNumber="1" minValue="-1.0817496470000001" maxValue="0.66941418100000005"/>
    </cacheField>
    <cacheField name="Media_BI" numFmtId="0">
      <sharedItems containsSemiMixedTypes="0" containsString="0" containsNumber="1" minValue="-0.76580789500000002" maxValue="-0.57457681100000002"/>
    </cacheField>
    <cacheField name="Eval_BI" numFmtId="0">
      <sharedItems containsSemiMixedTypes="0" containsString="0" containsNumber="1" minValue="-0.79503465290812969" maxValue="0.55710350143866183"/>
    </cacheField>
    <cacheField name="BI" numFmtId="0">
      <sharedItems containsSemiMixedTypes="0" containsString="0" containsNumber="1" minValue="-1.847557541" maxValue="2.6660008999999998E-2"/>
    </cacheField>
    <cacheField name="BI_ilink" numFmtId="0">
      <sharedItems containsSemiMixedTypes="0" containsString="0" containsNumber="1" minValue="0.13615992499999999" maxValue="0.50666460800000002"/>
    </cacheField>
    <cacheField name="Feno_BI" numFmtId="0">
      <sharedItems containsSemiMixedTypes="0" containsString="0" containsNumber="1" minValue="-1.9895488622465787" maxValue="2.6660009999999956E-2"/>
    </cacheField>
    <cacheField name="Feno_BI_ilink" numFmtId="0">
      <sharedItems containsSemiMixedTypes="0" containsString="0" containsNumber="1" minValue="0.12030459883103325" maxValue="0.50666460776210587"/>
    </cacheField>
    <cacheField name="Uhat_SInd" numFmtId="0">
      <sharedItems containsSemiMixedTypes="0" containsString="0" containsNumber="1" minValue="-1.4250761000000001" maxValue="1.521674711"/>
    </cacheField>
    <cacheField name="Media_Sind" numFmtId="0">
      <sharedItems containsSemiMixedTypes="0" containsString="0" containsNumber="1" minValue="-0.95194763900000001" maxValue="-0.80976737799999998"/>
    </cacheField>
    <cacheField name="Eval_Sind" numFmtId="0">
      <sharedItems containsSemiMixedTypes="0" containsString="0" containsNumber="1" minValue="-0.92641011837371778" maxValue="1.025118027290626"/>
    </cacheField>
    <cacheField name="Sind" numFmtId="0">
      <sharedItems containsSemiMixedTypes="0" containsString="0" containsNumber="1" minValue="-2.3770237390000002" maxValue="0.56972707099999997"/>
    </cacheField>
    <cacheField name="Sind_ilink" numFmtId="0">
      <sharedItems containsSemiMixedTypes="0" containsString="0" containsNumber="1" minValue="8.4941614999999998E-2" maxValue="0.63870019600000005"/>
    </cacheField>
    <cacheField name="Feno_Sind" numFmtId="0">
      <sharedItems containsSemiMixedTypes="0" containsString="0" containsNumber="1" minValue="-2.7325030347373289" maxValue="0.38368514529062592"/>
    </cacheField>
    <cacheField name="Feno_Sind_ilink" numFmtId="0">
      <sharedItems containsSemiMixedTypes="0" containsString="0" containsNumber="1" minValue="6.1082452498430771E-2" maxValue="0.59476160679788015"/>
    </cacheField>
    <cacheField name="DSI_Uhat" numFmtId="0">
      <sharedItems containsSemiMixedTypes="0" containsString="0" containsNumber="1" minValue="-1.1741603350000001" maxValue="1.0955444459999999"/>
    </cacheField>
    <cacheField name="DSI_ilink" numFmtId="0">
      <sharedItems containsSemiMixedTypes="0" containsString="0" containsNumber="1" minValue="0.117129857" maxValue="0.55731020499999995"/>
    </cacheField>
    <cacheField name="DSI_BLUP" numFmtId="0">
      <sharedItems containsSemiMixedTypes="0" containsString="0" containsNumber="1" minValue="-2.0330381024999999" maxValue="0.23666667849999998"/>
    </cacheField>
    <cacheField name="DSI_Feno" numFmtId="0">
      <sharedItems containsSemiMixedTypes="0" containsString="0" containsNumber="1" minValue="-2.321144287154123" maxValue="0.14308345286464386"/>
    </cacheField>
    <cacheField name="DSI_Feno_ilink" numFmtId="0">
      <sharedItems containsSemiMixedTypes="0" containsString="0" containsNumber="1" minValue="9.3062474150851254E-2" maxValue="0.53520067448053854"/>
    </cacheField>
    <cacheField name="Keep" numFmtId="0">
      <sharedItems count="2">
        <s v="Conservar"/>
        <s v="Eliminar"/>
      </sharedItems>
    </cacheField>
    <cacheField name="Q1" numFmtId="0">
      <sharedItems containsString="0" containsBlank="1" containsNumber="1" minValue="1.64E-44" maxValue="0.99999969"/>
    </cacheField>
    <cacheField name="Q2" numFmtId="0">
      <sharedItems containsString="0" containsBlank="1" containsNumber="1" minValue="1.9200000000000001E-51" maxValue="1"/>
    </cacheField>
    <cacheField name="Q3" numFmtId="0">
      <sharedItems containsString="0" containsBlank="1" containsNumber="1" minValue="1.06E-47" maxValue="0.99999865899999996"/>
    </cacheField>
    <cacheField name="Q4" numFmtId="0">
      <sharedItems containsString="0" containsBlank="1" containsNumber="1" minValue="1.25E-7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5">
  <r>
    <x v="0"/>
    <s v="Diatraea_SAM_1"/>
    <x v="0"/>
    <n v="-0.20138467600000001"/>
    <n v="-0.76580789500000002"/>
    <n v="0.55710350143866183"/>
    <n v="-0.967192571"/>
    <n v="0.27544043600000001"/>
    <n v="-0.41008906956133817"/>
    <n v="0.39889076413400909"/>
    <n v="-6.2281655999999998E-2"/>
    <n v="-0.95194763900000001"/>
    <n v="1.025118027290626"/>
    <n v="-1.0142292959999999"/>
    <n v="0.26615298700000001"/>
    <n v="1.0888732290625924E-2"/>
    <n v="0.50272215617678784"/>
    <n v="-0.131833166"/>
    <n v="0.27079671100000002"/>
    <n v="-0.99071093349999995"/>
    <n v="-0.19960016863535612"/>
    <n v="0.45080646015539849"/>
    <x v="0"/>
    <n v="3.7499999999999998E-19"/>
    <n v="3.6700000000000001E-44"/>
    <n v="7.0699999999999996E-23"/>
    <n v="1"/>
  </r>
  <r>
    <x v="0"/>
    <s v="Diatraea_SAM_1"/>
    <x v="1"/>
    <n v="0.22006398599999999"/>
    <n v="-0.76580789500000002"/>
    <n v="0.55710350143866183"/>
    <n v="-0.54574390800000006"/>
    <n v="0.36685241699999999"/>
    <n v="1.1359592438661803E-2"/>
    <n v="0.50283986757160792"/>
    <n v="-0.23280715599999999"/>
    <n v="-0.95194763900000001"/>
    <n v="1.025118027290626"/>
    <n v="-1.1847547949999999"/>
    <n v="0.234198349"/>
    <n v="-0.15963676770937396"/>
    <n v="0.46017534612333472"/>
    <n v="-6.3715849999999999E-3"/>
    <n v="0.30052538299999998"/>
    <n v="-0.86524935149999993"/>
    <n v="-7.4138587635356079E-2"/>
    <n v="0.48150760684747129"/>
    <x v="0"/>
    <n v="1.0099999999999999E-14"/>
    <n v="1.1399999999999999E-36"/>
    <n v="1.08E-20"/>
    <n v="1"/>
  </r>
  <r>
    <x v="0"/>
    <s v="Diatraea_SAM_1"/>
    <x v="2"/>
    <n v="0.111186154"/>
    <n v="-0.76580789500000002"/>
    <n v="0.55710350143866183"/>
    <n v="-0.65462174100000003"/>
    <n v="0.341948796"/>
    <n v="-9.7518239561338205E-2"/>
    <n v="0.47563974216319699"/>
    <n v="0.31051475699999997"/>
    <n v="-0.95194763900000001"/>
    <n v="1.025118027290626"/>
    <n v="-0.64143288300000001"/>
    <n v="0.34492270600000002"/>
    <n v="0.38368514529062592"/>
    <n v="0.59476160679788015"/>
    <n v="0.21085045499999999"/>
    <n v="0.34343575100000001"/>
    <n v="-0.64802731199999997"/>
    <n v="0.14308345286464386"/>
    <n v="0.53520067448053854"/>
    <x v="0"/>
    <n v="2E-14"/>
    <n v="2.4500000000000002E-35"/>
    <n v="1.3600000000000001E-12"/>
    <n v="1"/>
  </r>
  <r>
    <x v="0"/>
    <s v="Diatraea_SAM_1"/>
    <x v="3"/>
    <n v="-0.25486184499999998"/>
    <n v="-0.76580789500000002"/>
    <n v="0.55710350143866183"/>
    <n v="-1.02066974"/>
    <n v="0.26489696400000001"/>
    <n v="-0.46356623856133816"/>
    <n v="0.38614015467776336"/>
    <n v="-3.3904524999999998E-2"/>
    <n v="-0.95194763900000001"/>
    <n v="1.025118027290626"/>
    <n v="-0.98585216399999998"/>
    <n v="0.27173213099999999"/>
    <n v="3.926586329062598E-2"/>
    <n v="0.50981520475827702"/>
    <n v="-0.144383185"/>
    <n v="0.26831454700000001"/>
    <n v="-1.003260952"/>
    <n v="-0.21215018763535609"/>
    <n v="0.44797767971802016"/>
    <x v="0"/>
    <n v="1.2099999999999999E-16"/>
    <n v="7.3199999999999999E-41"/>
    <n v="4.96E-19"/>
    <n v="1"/>
  </r>
  <r>
    <x v="0"/>
    <s v="Diatraea_SAM_1"/>
    <x v="4"/>
    <n v="0.1430997"/>
    <n v="-0.76580789500000002"/>
    <n v="0.55710350143866183"/>
    <n v="-0.62270819499999996"/>
    <n v="0.34916576599999999"/>
    <n v="-6.5604693561338134E-2"/>
    <n v="0.48360470660008203"/>
    <n v="5.1346699000000003E-2"/>
    <n v="-0.95194763900000001"/>
    <n v="1.025118027290626"/>
    <n v="-0.90060094099999999"/>
    <n v="0.28892701999999998"/>
    <n v="0.12451708729062594"/>
    <n v="0.53108911375531376"/>
    <n v="9.7223198999999996E-2"/>
    <n v="0.31904639299999998"/>
    <n v="-0.76165456799999998"/>
    <n v="2.9456196864643902E-2"/>
    <n v="0.50734691017769795"/>
    <x v="0"/>
    <n v="0.92176499000000001"/>
    <n v="3.5999999999999999E-17"/>
    <n v="2.0004918999999999E-2"/>
    <n v="5.8230090999999998E-2"/>
  </r>
  <r>
    <x v="0"/>
    <s v="Diatraea_SAM_10"/>
    <x v="5"/>
    <n v="-0.43517018200000002"/>
    <n v="-0.76580789500000002"/>
    <n v="-0.24178949960145765"/>
    <n v="-1.2009780759999999"/>
    <n v="0.231301268"/>
    <n v="-1.4427675766014576"/>
    <n v="0.19111713929556556"/>
    <n v="-0.54433600000000004"/>
    <n v="-0.95194763900000001"/>
    <n v="0.1024183081098506"/>
    <n v="-1.4962836399999999"/>
    <n v="0.18298046000000001"/>
    <n v="-1.3938653308901494"/>
    <n v="0.19879139570179277"/>
    <n v="-0.48975309099999997"/>
    <n v="0.20714086400000001"/>
    <n v="-1.3486308579999999"/>
    <n v="-1.4183164537458035"/>
    <n v="0.19495426749867917"/>
    <x v="0"/>
    <n v="0.99995532200000004"/>
    <n v="2.8400000000000002E-25"/>
    <n v="4.4700000000000002E-5"/>
    <n v="3.3299999999999999E-9"/>
  </r>
  <r>
    <x v="0"/>
    <s v="Diatraea_SAM_10"/>
    <x v="6"/>
    <n v="-6.8185359000000001E-2"/>
    <n v="-0.76580789500000002"/>
    <n v="-0.24178949960145765"/>
    <n v="-0.83399325400000002"/>
    <n v="0.30280138000000001"/>
    <n v="-1.0757827536014577"/>
    <n v="0.2543049206884429"/>
    <n v="-9.8402667999999999E-2"/>
    <n v="-0.95194763900000001"/>
    <n v="0.1024183081098506"/>
    <n v="-1.050350307"/>
    <n v="0.25915783799999997"/>
    <n v="-0.94793199889014934"/>
    <n v="0.27930090381771361"/>
    <n v="-8.3294013E-2"/>
    <n v="0.28097960900000002"/>
    <n v="-0.94217178050000006"/>
    <n v="-1.0118573762458034"/>
    <n v="0.26680291225307828"/>
    <x v="0"/>
    <n v="0.99951347400000001"/>
    <n v="1.3899999999999999E-19"/>
    <n v="4.8640199999999998E-4"/>
    <n v="1.24E-7"/>
  </r>
  <r>
    <x v="0"/>
    <s v="Diatraea_SAM_10"/>
    <x v="7"/>
    <n v="-0.38792423100000001"/>
    <n v="-0.76580789500000002"/>
    <n v="-0.24178949960145765"/>
    <n v="-1.1537321250000001"/>
    <n v="0.23980805499999999"/>
    <n v="-1.3955216256014575"/>
    <n v="0.19852772365400115"/>
    <n v="-0.310903184"/>
    <n v="-0.95194763900000001"/>
    <n v="0.1024183081098506"/>
    <n v="-1.262850824"/>
    <n v="0.22048352900000001"/>
    <n v="-1.1604325148901493"/>
    <n v="0.2385887038305109"/>
    <n v="-0.34941370700000002"/>
    <n v="0.23014579199999999"/>
    <n v="-1.2082914745000002"/>
    <n v="-1.2779770702458033"/>
    <n v="0.21855821374225604"/>
    <x v="0"/>
    <n v="0.582024082"/>
    <n v="2.4300000000000001E-23"/>
    <n v="0.32182463700000002"/>
    <n v="9.6151281000000005E-2"/>
  </r>
  <r>
    <x v="0"/>
    <s v="Diatraea_SAM_10"/>
    <x v="8"/>
    <n v="-0.16301882400000001"/>
    <n v="-0.76580789500000002"/>
    <n v="-0.24178949960145765"/>
    <n v="-0.92882671900000002"/>
    <n v="0.28316280799999999"/>
    <n v="-1.1706162186014577"/>
    <n v="0.23674361792639115"/>
    <n v="1.847022E-3"/>
    <n v="-0.95194763900000001"/>
    <n v="0.1024183081098506"/>
    <n v="-0.95010061800000001"/>
    <n v="0.278864587"/>
    <n v="-0.84768230889014939"/>
    <n v="0.29991927202252572"/>
    <n v="-8.0585901000000001E-2"/>
    <n v="0.28101369799999998"/>
    <n v="-0.93946366849999996"/>
    <n v="-1.0091492637458035"/>
    <n v="0.26833144497445843"/>
    <x v="0"/>
    <n v="1.1399999999999999E-17"/>
    <n v="3.87E-41"/>
    <n v="1.8999999999999999E-20"/>
    <n v="1"/>
  </r>
  <r>
    <x v="0"/>
    <s v="Diatraea_SAM_10"/>
    <x v="9"/>
    <n v="0.106893299"/>
    <n v="-0.76580789500000002"/>
    <n v="-0.24178949960145765"/>
    <n v="-0.65891459600000002"/>
    <n v="0.34098347499999998"/>
    <n v="-0.9007040956014577"/>
    <n v="0.28890582700616463"/>
    <n v="0.254725274"/>
    <n v="-0.95194763900000001"/>
    <n v="0.1024183081098506"/>
    <n v="-0.69722236500000001"/>
    <n v="0.33242835300000001"/>
    <n v="-0.59480405689014937"/>
    <n v="0.35553334134687087"/>
    <n v="0.18080928700000001"/>
    <n v="0.336705914"/>
    <n v="-0.67806848050000001"/>
    <n v="-0.74775407624580348"/>
    <n v="0.32221958417651775"/>
    <x v="0"/>
    <n v="6.2500000000000005E-17"/>
    <n v="1.41E-39"/>
    <n v="1.4699999999999999E-21"/>
    <n v="1"/>
  </r>
  <r>
    <x v="0"/>
    <s v="Diatraea_SAM_10"/>
    <x v="10"/>
    <n v="-2.2707095E-2"/>
    <n v="-0.76580789500000002"/>
    <n v="-0.24178949960145765"/>
    <n v="-0.78851498900000005"/>
    <n v="0.31248761899999999"/>
    <n v="-1.0303044896014577"/>
    <n v="0.26302507676480125"/>
    <n v="-0.16729967600000001"/>
    <n v="-0.95194763900000001"/>
    <n v="0.1024183081098506"/>
    <n v="-1.119247315"/>
    <n v="0.24615092599999999"/>
    <n v="-1.0168290068901493"/>
    <n v="0.26564553160025417"/>
    <n v="-9.5003384999999996E-2"/>
    <n v="0.27931927200000001"/>
    <n v="-0.95388115200000001"/>
    <n v="-1.0235667482458035"/>
    <n v="0.26433530418252771"/>
    <x v="0"/>
    <n v="8.920000000000001E-16"/>
    <n v="1.07E-37"/>
    <n v="2.52E-21"/>
    <n v="1"/>
  </r>
  <r>
    <x v="0"/>
    <s v="Diatraea_SAM_10"/>
    <x v="11"/>
    <n v="0.47443994499999997"/>
    <n v="-0.76580789500000002"/>
    <n v="-0.24178949960145765"/>
    <n v="-0.29136794900000001"/>
    <n v="0.42766900299999999"/>
    <n v="-0.53315744960145772"/>
    <n v="0.36978076460724985"/>
    <n v="0.31537753200000002"/>
    <n v="-0.95194763900000001"/>
    <n v="0.1024183081098506"/>
    <n v="-0.63657010700000005"/>
    <n v="0.34602228200000001"/>
    <n v="-0.53415179889014941"/>
    <n v="0.36954906853483971"/>
    <n v="0.39490873900000001"/>
    <n v="0.38684564300000002"/>
    <n v="-0.46396902800000006"/>
    <n v="-0.53365462424580357"/>
    <n v="0.36966491657104478"/>
    <x v="0"/>
    <n v="6.5600000000000001E-16"/>
    <n v="2.8600000000000001E-37"/>
    <n v="1.4199999999999999E-20"/>
    <n v="1"/>
  </r>
  <r>
    <x v="0"/>
    <s v="Diatraea_SAM_10"/>
    <x v="12"/>
    <n v="-0.27462231300000001"/>
    <n v="-0.76580789500000002"/>
    <n v="-0.24178949960145765"/>
    <n v="-1.0404302080000001"/>
    <n v="0.261066994"/>
    <n v="-1.2822197076014576"/>
    <n v="0.21717261713239197"/>
    <n v="-0.23806385399999999"/>
    <n v="-0.95194763900000001"/>
    <n v="0.1024183081098506"/>
    <n v="-1.1900114939999999"/>
    <n v="0.23325688"/>
    <n v="-1.0875931848901494"/>
    <n v="0.2520717682528017"/>
    <n v="-0.25634308300000003"/>
    <n v="0.247161937"/>
    <n v="-1.1152208510000001"/>
    <n v="-1.1849064462458037"/>
    <n v="0.23462219269259682"/>
    <x v="0"/>
    <n v="1.42E-8"/>
    <n v="9.9999999999999994E-37"/>
    <n v="3.6400000000000001E-13"/>
    <n v="0.99999998599999995"/>
  </r>
  <r>
    <x v="0"/>
    <s v="Diatraea_SAM_10"/>
    <x v="13"/>
    <n v="0.44116280400000002"/>
    <n v="-0.76580789500000002"/>
    <n v="-0.24178949960145765"/>
    <n v="-0.324645091"/>
    <n v="0.41954412299999999"/>
    <n v="-0.56643459060145762"/>
    <n v="0.36205993082048482"/>
    <n v="0.63731542600000002"/>
    <n v="-0.95194763900000001"/>
    <n v="0.1024183081098506"/>
    <n v="-0.31463221299999999"/>
    <n v="0.42198447300000003"/>
    <n v="-0.21221390489014941"/>
    <n v="0.4471447353167185"/>
    <n v="0.53923911499999999"/>
    <n v="0.42076429799999998"/>
    <n v="-0.31963865199999997"/>
    <n v="-0.38932424774580354"/>
    <n v="0.40460233306860166"/>
    <x v="0"/>
    <n v="0.99979260599999997"/>
    <n v="5.0800000000000003E-21"/>
    <n v="2.0416400000000001E-4"/>
    <n v="3.23E-6"/>
  </r>
  <r>
    <x v="0"/>
    <s v="Diatraea_SAM_10"/>
    <x v="14"/>
    <n v="-0.21528809700000001"/>
    <n v="-0.76580789500000002"/>
    <n v="-0.24178949960145765"/>
    <n v="-0.98109599199999997"/>
    <n v="0.27267436900000003"/>
    <n v="-1.2228854916014575"/>
    <n v="0.22742905632450727"/>
    <n v="-0.50367231999999995"/>
    <n v="-0.95194763900000001"/>
    <n v="0.1024183081098506"/>
    <n v="-1.4556199599999999"/>
    <n v="0.189138155"/>
    <n v="-1.3532016508901492"/>
    <n v="0.20534743396026942"/>
    <n v="-0.359480209"/>
    <n v="0.230906262"/>
    <n v="-1.2183579760000001"/>
    <n v="-1.2880435712458034"/>
    <n v="0.21638824514238836"/>
    <x v="0"/>
    <n v="0.98500765199999996"/>
    <n v="8.32E-24"/>
    <n v="1.498524E-2"/>
    <n v="7.1099999999999997E-6"/>
  </r>
  <r>
    <x v="0"/>
    <s v="Diatraea_SAM_10"/>
    <x v="15"/>
    <n v="2.8634785999999999E-2"/>
    <n v="-0.76580789500000002"/>
    <n v="-0.24178949960145765"/>
    <n v="-0.73717310899999999"/>
    <n v="0.32362261599999997"/>
    <n v="-0.97896260860145767"/>
    <n v="0.27309767327686757"/>
    <n v="6.6858204000000004E-2"/>
    <n v="-0.95194763900000001"/>
    <n v="0.1024183081098506"/>
    <n v="-0.88508943600000001"/>
    <n v="0.29212423399999998"/>
    <n v="-0.78267112689014939"/>
    <n v="0.31374448278854317"/>
    <n v="4.7746495E-2"/>
    <n v="0.30787342499999998"/>
    <n v="-0.81113127249999994"/>
    <n v="-0.88081686774580348"/>
    <n v="0.29342107803270534"/>
    <x v="0"/>
    <n v="1.3799999999999999E-13"/>
    <n v="1.8800000000000001E-35"/>
    <n v="2.3499999999999998E-18"/>
    <n v="1"/>
  </r>
  <r>
    <x v="0"/>
    <s v="Diatraea_SAM_10"/>
    <x v="16"/>
    <n v="0.21951211800000001"/>
    <n v="-0.76580789500000002"/>
    <n v="-0.24178949960145765"/>
    <n v="-0.54629577600000001"/>
    <n v="0.36672424300000001"/>
    <n v="-0.78808527660145766"/>
    <n v="0.31257994544744494"/>
    <n v="0.37523212900000003"/>
    <n v="-0.95194763900000001"/>
    <n v="0.1024183081098506"/>
    <n v="-0.57671551099999996"/>
    <n v="0.35968870400000003"/>
    <n v="-0.4742972018901494"/>
    <n v="0.38359965916688465"/>
    <n v="0.29737212400000002"/>
    <n v="0.363206474"/>
    <n v="-0.56150564349999998"/>
    <n v="-0.63119123924580356"/>
    <n v="0.3480898023071648"/>
    <x v="0"/>
    <n v="8.9400000000000003E-14"/>
    <n v="1.9899999999999999E-30"/>
    <n v="8.8399999999999997E-16"/>
    <n v="1"/>
  </r>
  <r>
    <x v="0"/>
    <s v="Diatraea_SAM_10"/>
    <x v="2"/>
    <n v="0.58045910000000001"/>
    <n v="-0.76580789500000002"/>
    <n v="-0.24178949960145765"/>
    <n v="-0.18534879500000001"/>
    <n v="0.45379500299999997"/>
    <n v="-0.42713829460145769"/>
    <n v="0.39480988703000619"/>
    <n v="0.69447234599999996"/>
    <n v="-0.95194763900000001"/>
    <n v="0.1024183081098506"/>
    <n v="-0.25747529400000002"/>
    <n v="0.43598443799999997"/>
    <n v="-0.15505698489014946"/>
    <n v="0.46131323382708045"/>
    <n v="0.63746572300000004"/>
    <n v="0.44488972100000002"/>
    <n v="-0.22141204450000002"/>
    <n v="-0.2910976397458036"/>
    <n v="0.42806156042854332"/>
    <x v="1"/>
    <n v="2E-14"/>
    <n v="2.4500000000000002E-35"/>
    <n v="1.3600000000000001E-12"/>
    <n v="1"/>
  </r>
  <r>
    <x v="0"/>
    <s v="Diatraea_SAM_10"/>
    <x v="3"/>
    <n v="0.127815383"/>
    <n v="-0.76580789500000002"/>
    <n v="-0.24178949960145765"/>
    <n v="-0.63799251199999996"/>
    <n v="0.34570047599999998"/>
    <n v="-0.87978201160145775"/>
    <n v="0.29322295349484767"/>
    <n v="-6.4595057999999997E-2"/>
    <n v="-0.95194763900000001"/>
    <n v="0.1024183081098506"/>
    <n v="-1.016542697"/>
    <n v="0.26570138799999998"/>
    <n v="-0.91412438889014935"/>
    <n v="0.28615660168467111"/>
    <n v="3.1610161999999997E-2"/>
    <n v="0.30570093199999998"/>
    <n v="-0.82726760450000003"/>
    <n v="-0.89695320024580361"/>
    <n v="0.28968977758975939"/>
    <x v="1"/>
    <n v="1.2099999999999999E-16"/>
    <n v="7.3199999999999999E-41"/>
    <n v="4.96E-19"/>
    <n v="1"/>
  </r>
  <r>
    <x v="0"/>
    <s v="Diatraea_SAM_10"/>
    <x v="17"/>
    <n v="2.1794643999999998E-2"/>
    <n v="-0.76580789500000002"/>
    <n v="-0.24178949960145765"/>
    <n v="-0.74401324999999996"/>
    <n v="0.32212718099999998"/>
    <n v="-0.98580275060145772"/>
    <n v="0.27174190969324186"/>
    <n v="0.254725274"/>
    <n v="-0.95194763900000001"/>
    <n v="0.1024183081098506"/>
    <n v="-0.69722236500000001"/>
    <n v="0.33242835300000001"/>
    <n v="-0.59480405689014937"/>
    <n v="0.35553334134687087"/>
    <n v="0.13825995899999999"/>
    <n v="0.327277767"/>
    <n v="-0.72061780750000004"/>
    <n v="-0.79030340374580355"/>
    <n v="0.31363762552005636"/>
    <x v="0"/>
    <n v="1.6900000000000001E-17"/>
    <n v="2.4999999999999998E-41"/>
    <n v="3.1499999999999998E-20"/>
    <n v="1"/>
  </r>
  <r>
    <x v="0"/>
    <s v="Diatraea_SAM_10"/>
    <x v="18"/>
    <n v="-0.38402197700000001"/>
    <n v="-0.76580789500000002"/>
    <n v="-0.24178949960145765"/>
    <n v="-1.149829872"/>
    <n v="0.24052015900000001"/>
    <n v="-1.3916193716014575"/>
    <n v="0.19914935923429183"/>
    <n v="-0.585796651"/>
    <n v="-0.95194763900000001"/>
    <n v="0.1024183081098506"/>
    <n v="-1.53774429"/>
    <n v="0.17686342799999999"/>
    <n v="-1.4353259818901494"/>
    <n v="0.19227019074034996"/>
    <n v="-0.48490931399999998"/>
    <n v="0.20869179299999999"/>
    <n v="-1.3437870809999999"/>
    <n v="-1.4134726767458035"/>
    <n v="0.19570977498732089"/>
    <x v="0"/>
    <n v="1.0499999999999999E-15"/>
    <n v="2.18E-37"/>
    <n v="3.5800000000000003E-20"/>
    <n v="1"/>
  </r>
  <r>
    <x v="0"/>
    <s v="Diatraea_SAM_11"/>
    <x v="19"/>
    <n v="-0.488002504"/>
    <n v="-0.76580789500000002"/>
    <n v="0.26350859048821873"/>
    <n v="-1.253810399"/>
    <n v="0.222041238"/>
    <n v="-0.99030180851178129"/>
    <n v="0.27085246894044385"/>
    <n v="-0.72043675900000004"/>
    <n v="-0.95194763900000001"/>
    <n v="-1.2208396677130032E-2"/>
    <n v="-1.672384399"/>
    <n v="0.15810653499999999"/>
    <n v="-1.6845927946771302"/>
    <n v="0.15648826451677741"/>
    <n v="-0.60421963199999995"/>
    <n v="0.190073886"/>
    <n v="-1.463097399"/>
    <n v="-1.3374473015944557"/>
    <n v="0.21367036672861062"/>
    <x v="0"/>
    <n v="4.2799999999999998E-14"/>
    <n v="1"/>
    <n v="6.6700000000000004E-17"/>
    <n v="8.1699999999999998E-30"/>
  </r>
  <r>
    <x v="0"/>
    <s v="Diatraea_SAM_11"/>
    <x v="20"/>
    <n v="0.115401723"/>
    <n v="-0.76580789500000002"/>
    <n v="0.26350859048821873"/>
    <n v="-0.65040617199999995"/>
    <n v="0.342898013"/>
    <n v="-0.38689758151178133"/>
    <n v="0.40446436735113561"/>
    <n v="0.32014608700000002"/>
    <n v="-0.95194763900000001"/>
    <n v="-1.2208396677130032E-2"/>
    <n v="-0.63180155199999999"/>
    <n v="0.347102154"/>
    <n v="-0.64400994867713002"/>
    <n v="0.34434064838354772"/>
    <n v="0.21777390499999999"/>
    <n v="0.34500008300000001"/>
    <n v="-0.64110386200000002"/>
    <n v="-0.51545376509445573"/>
    <n v="0.37440250786734164"/>
    <x v="0"/>
    <n v="0.99933348899999996"/>
    <n v="2.5599999999999999E-26"/>
    <n v="6.6650399999999995E-4"/>
    <n v="7.4099999999999998E-9"/>
  </r>
  <r>
    <x v="0"/>
    <s v="Diatraea_SAM_11"/>
    <x v="21"/>
    <n v="-0.21744418600000001"/>
    <n v="-0.76580789500000002"/>
    <n v="0.26350859048821873"/>
    <n v="-0.98325208100000006"/>
    <n v="0.272246977"/>
    <n v="-0.71974349051178133"/>
    <n v="0.32744947057103907"/>
    <n v="-0.33342187699999998"/>
    <n v="-0.95194763900000001"/>
    <n v="-1.2208396677130032E-2"/>
    <n v="-1.285369516"/>
    <n v="0.21663759899999999"/>
    <n v="-1.2975779126771301"/>
    <n v="0.21457293249519674"/>
    <n v="-0.27543303099999999"/>
    <n v="0.24444228800000001"/>
    <n v="-1.1343107985000001"/>
    <n v="-1.0086607015944558"/>
    <n v="0.27101120153311792"/>
    <x v="0"/>
    <n v="1.7000000000000001E-13"/>
    <n v="3.0599999999999997E-36"/>
    <n v="6.5100000000000004E-19"/>
    <n v="1"/>
  </r>
  <r>
    <x v="0"/>
    <s v="Diatraea_SAM_11"/>
    <x v="22"/>
    <n v="0.30951424999999999"/>
    <n v="-0.76580789500000002"/>
    <n v="0.26350859048821873"/>
    <n v="-0.45629364500000003"/>
    <n v="0.387865442"/>
    <n v="-0.1927850545117813"/>
    <n v="0.45195245583599408"/>
    <n v="0.25777898199999999"/>
    <n v="-0.95194763900000001"/>
    <n v="-1.2208396677130032E-2"/>
    <n v="-0.69416865800000005"/>
    <n v="0.33310637700000001"/>
    <n v="-0.70637705367713011"/>
    <n v="0.33039987253527359"/>
    <n v="0.28364661600000002"/>
    <n v="0.36048590899999999"/>
    <n v="-0.57523115150000004"/>
    <n v="-0.4495810540944557"/>
    <n v="0.39117616418563383"/>
    <x v="0"/>
    <n v="2.3100000000000001E-14"/>
    <n v="6.4800000000000001E-40"/>
    <n v="9.5200000000000002E-19"/>
    <n v="1"/>
  </r>
  <r>
    <x v="0"/>
    <s v="Diatraea_SAM_11"/>
    <x v="23"/>
    <n v="9.1217523999999994E-2"/>
    <n v="-0.76580789500000002"/>
    <n v="0.26350859048821873"/>
    <n v="-0.67459037099999997"/>
    <n v="0.33746974299999999"/>
    <n v="-0.41108178051178135"/>
    <n v="0.3986527588661255"/>
    <n v="0.12954622199999999"/>
    <n v="-0.95194763900000001"/>
    <n v="-1.2208396677130032E-2"/>
    <n v="-0.822401418"/>
    <n v="0.30525414299999998"/>
    <n v="-0.83460981367713005"/>
    <n v="0.30267123251776573"/>
    <n v="0.11038187300000001"/>
    <n v="0.32136194299999998"/>
    <n v="-0.74849589449999998"/>
    <n v="-0.62284579709445564"/>
    <n v="0.35066199569194562"/>
    <x v="0"/>
    <n v="6.4014911999999993E-2"/>
    <n v="1.72E-27"/>
    <n v="0.93598508800000002"/>
    <n v="5.0299999999999999E-17"/>
  </r>
  <r>
    <x v="0"/>
    <s v="Diatraea_SAM_11"/>
    <x v="24"/>
    <n v="0.13596361100000001"/>
    <n v="-0.76580789500000002"/>
    <n v="0.26350859048821873"/>
    <n v="-0.62984428400000003"/>
    <n v="0.34754584700000002"/>
    <n v="-0.3663356935117813"/>
    <n v="0.40942674304494842"/>
    <n v="-3.8792172E-2"/>
    <n v="-0.95194763900000001"/>
    <n v="-1.2208396677130032E-2"/>
    <n v="-0.99073981200000005"/>
    <n v="0.27076597600000002"/>
    <n v="-1.0029482076771301"/>
    <n v="0.26836216357400533"/>
    <n v="4.8585718999999999E-2"/>
    <n v="0.30915591100000001"/>
    <n v="-0.81029204799999999"/>
    <n v="-0.68464195059445565"/>
    <n v="0.33889445330947687"/>
    <x v="0"/>
    <n v="1.12E-13"/>
    <n v="1.12E-36"/>
    <n v="2.9500000000000002E-19"/>
    <n v="1"/>
  </r>
  <r>
    <x v="0"/>
    <s v="Diatraea_SAM_11"/>
    <x v="25"/>
    <n v="0.31905061299999998"/>
    <n v="-0.76580789500000002"/>
    <n v="0.26350859048821873"/>
    <n v="-0.44675728100000001"/>
    <n v="0.39013202699999999"/>
    <n v="-0.1832486915117813"/>
    <n v="0.45431559613686684"/>
    <n v="0.28909482199999997"/>
    <n v="-0.95194763900000001"/>
    <n v="-1.2208396677130032E-2"/>
    <n v="-0.66285281699999998"/>
    <n v="0.34009905699999998"/>
    <n v="-0.67506121367713012"/>
    <n v="0.33736447839531669"/>
    <n v="0.30407271800000002"/>
    <n v="0.36511554200000002"/>
    <n v="-0.55480504900000005"/>
    <n v="-0.42915495259445569"/>
    <n v="0.39584003726609174"/>
    <x v="0"/>
    <n v="1.3499999999999999E-14"/>
    <n v="9.9999999999999997E-29"/>
    <n v="2.9E-19"/>
    <n v="1"/>
  </r>
  <r>
    <x v="0"/>
    <s v="Diatraea_SAM_11"/>
    <x v="26"/>
    <n v="2.9902378E-2"/>
    <n v="-0.76580789500000002"/>
    <n v="0.26350859048821873"/>
    <n v="-0.73590551699999995"/>
    <n v="0.32390014299999997"/>
    <n v="-0.47239692651178133"/>
    <n v="0.38404908037905888"/>
    <n v="6.3401903999999995E-2"/>
    <n v="-0.95194763900000001"/>
    <n v="-1.2208396677130032E-2"/>
    <n v="-0.888545735"/>
    <n v="0.29141002799999999"/>
    <n v="-0.90075413167713003"/>
    <n v="0.28889554774087428"/>
    <n v="4.6652141000000001E-2"/>
    <n v="0.30765508499999999"/>
    <n v="-0.81222562600000003"/>
    <n v="-0.68657552909445574"/>
    <n v="0.33647231405996658"/>
    <x v="0"/>
    <n v="6.53E-15"/>
    <n v="5.0999999999999999E-29"/>
    <n v="1.2500000000000001E-18"/>
    <n v="1"/>
  </r>
  <r>
    <x v="0"/>
    <s v="Diatraea_SAM_11"/>
    <x v="27"/>
    <n v="-1.0817496470000001"/>
    <n v="-0.76580789500000002"/>
    <n v="0.26350859048821873"/>
    <n v="-1.847557541"/>
    <n v="0.13615992499999999"/>
    <n v="-1.5840489515117815"/>
    <n v="0.1702228158612909"/>
    <n v="-1.2665710240000001"/>
    <n v="-0.95194763900000001"/>
    <n v="-1.2208396677130032E-2"/>
    <n v="-2.2185186639999999"/>
    <n v="9.8099789000000007E-2"/>
    <n v="-2.2307270596771303"/>
    <n v="9.702492383166729E-2"/>
    <n v="-1.1741603350000001"/>
    <n v="0.117129857"/>
    <n v="-2.0330381024999999"/>
    <n v="-1.9073880055944559"/>
    <n v="0.13362386984647909"/>
    <x v="0"/>
    <n v="1.64E-44"/>
    <n v="1"/>
    <n v="1.06E-47"/>
    <n v="1.25E-71"/>
  </r>
  <r>
    <x v="0"/>
    <s v="Diatraea_SAM_11"/>
    <x v="2"/>
    <n v="0.31908328600000002"/>
    <n v="-0.76580789500000002"/>
    <n v="0.26350859048821873"/>
    <n v="-0.44672460800000002"/>
    <n v="0.39013980100000001"/>
    <n v="-0.18321601851178126"/>
    <n v="0.45432369620828994"/>
    <n v="0.791943807"/>
    <n v="-0.95194763900000001"/>
    <n v="-1.2208396677130032E-2"/>
    <n v="-0.16000383300000001"/>
    <n v="0.46008416299999999"/>
    <n v="-0.17221222867713004"/>
    <n v="0.45705303044578077"/>
    <n v="0.555513547"/>
    <n v="0.425111982"/>
    <n v="-0.3033642205"/>
    <n v="-0.17771412359445565"/>
    <n v="0.45568836332703533"/>
    <x v="1"/>
    <n v="2E-14"/>
    <n v="2.4500000000000002E-35"/>
    <n v="1.3600000000000001E-12"/>
    <n v="1"/>
  </r>
  <r>
    <x v="0"/>
    <s v="Diatraea_SAM_11"/>
    <x v="3"/>
    <n v="0.22112163800000001"/>
    <n v="-0.76580789500000002"/>
    <n v="0.26350859048821873"/>
    <n v="-0.54468625699999995"/>
    <n v="0.36709811399999998"/>
    <n v="-0.28117766651178122"/>
    <n v="0.43016507910396706"/>
    <n v="0.12954622199999999"/>
    <n v="-0.95194763900000001"/>
    <n v="-1.2208396677130032E-2"/>
    <n v="-0.822401418"/>
    <n v="0.30525414299999998"/>
    <n v="-0.83460981367713005"/>
    <n v="0.30267123251776573"/>
    <n v="0.17533393"/>
    <n v="0.33617612899999999"/>
    <n v="-0.68354383750000003"/>
    <n v="-0.55789374009445569"/>
    <n v="0.3664181558108664"/>
    <x v="1"/>
    <n v="1.2099999999999999E-16"/>
    <n v="7.3199999999999999E-41"/>
    <n v="4.96E-19"/>
    <n v="1"/>
  </r>
  <r>
    <x v="0"/>
    <s v="Diatraea_SAM_11"/>
    <x v="28"/>
    <n v="0.339669681"/>
    <n v="-0.76580789500000002"/>
    <n v="0.26350859048821873"/>
    <n v="-0.42613821400000002"/>
    <n v="0.395048866"/>
    <n v="-0.16262962351178128"/>
    <n v="0.45943196800889002"/>
    <n v="0.53130175300000004"/>
    <n v="-0.95194763900000001"/>
    <n v="-1.2208396677130032E-2"/>
    <n v="-0.420645887"/>
    <n v="0.39636220500000002"/>
    <n v="-0.43285428267713"/>
    <n v="0.39344496158852216"/>
    <n v="0.43548571699999999"/>
    <n v="0.39570553600000002"/>
    <n v="-0.42339205050000001"/>
    <n v="-0.29774195309445561"/>
    <n v="0.42643846479870606"/>
    <x v="0"/>
    <n v="4.3500000000000001E-15"/>
    <n v="3.7299999999999998E-36"/>
    <n v="5.7700000000000006E-17"/>
    <n v="1"/>
  </r>
  <r>
    <x v="0"/>
    <s v="Diatraea_SAM_11"/>
    <x v="29"/>
    <n v="0.15195254"/>
    <n v="-0.76580789500000002"/>
    <n v="0.26350859048821873"/>
    <n v="-0.61385535499999999"/>
    <n v="0.35118024199999998"/>
    <n v="-0.35034676451178126"/>
    <n v="0.41329833411834715"/>
    <n v="0.35094787999999999"/>
    <n v="-0.95194763900000001"/>
    <n v="-1.2208396677130032E-2"/>
    <n v="-0.60099975999999999"/>
    <n v="0.35411499800000001"/>
    <n v="-0.61320815567713005"/>
    <n v="0.3513277220364423"/>
    <n v="0.25145021000000001"/>
    <n v="0.35264761999999999"/>
    <n v="-0.60742755749999999"/>
    <n v="-0.48177746009445566"/>
    <n v="0.38231302807739476"/>
    <x v="0"/>
    <n v="0.99033972100000001"/>
    <n v="6.3099999999999999E-21"/>
    <n v="9.6575930000000008E-3"/>
    <n v="2.6900000000000001E-6"/>
  </r>
  <r>
    <x v="0"/>
    <s v="Diatraea_SAM_11"/>
    <x v="30"/>
    <n v="0.224897767"/>
    <n v="-0.76580789500000002"/>
    <n v="0.26350859048821873"/>
    <n v="-0.54091012800000005"/>
    <n v="0.367975889"/>
    <n v="-0.27740153751178132"/>
    <n v="0.43109093854358221"/>
    <n v="0.22618287300000001"/>
    <n v="-0.95194763900000001"/>
    <n v="-1.2208396677130032E-2"/>
    <n v="-0.72576476599999995"/>
    <n v="0.32612480700000002"/>
    <n v="-0.73797316267712998"/>
    <n v="0.32344751618326228"/>
    <n v="0.22554031999999999"/>
    <n v="0.34705034800000001"/>
    <n v="-0.63333744699999994"/>
    <n v="-0.50768735009445565"/>
    <n v="0.37726922736342228"/>
    <x v="0"/>
    <n v="1.5299999999999999E-14"/>
    <n v="1.2099999999999999E-37"/>
    <n v="1.1099999999999999E-17"/>
    <n v="1"/>
  </r>
  <r>
    <x v="0"/>
    <s v="Diatraea_SAM_11"/>
    <x v="31"/>
    <n v="-0.28343053600000001"/>
    <n v="-0.76580789500000002"/>
    <n v="0.26350859048821873"/>
    <n v="-1.049238431"/>
    <n v="0.25937136999999999"/>
    <n v="-0.7857298405117813"/>
    <n v="0.31308629006442507"/>
    <n v="-0.45453711099999999"/>
    <n v="-0.95194763900000001"/>
    <n v="-1.2208396677130032E-2"/>
    <n v="-1.40648475"/>
    <n v="0.196789096"/>
    <n v="-1.41869314667713"/>
    <n v="0.19486653871788812"/>
    <n v="-0.36898382400000002"/>
    <n v="0.22808023299999999"/>
    <n v="-1.2278615904999999"/>
    <n v="-1.1022114935944556"/>
    <n v="0.25397641439115659"/>
    <x v="0"/>
    <n v="6.4500000000000003E-16"/>
    <n v="5.1699999999999997E-39"/>
    <n v="1.51E-21"/>
    <n v="1"/>
  </r>
  <r>
    <x v="0"/>
    <s v="Diatraea_SAM_11"/>
    <x v="32"/>
    <n v="-0.16182183999999999"/>
    <n v="-0.76580789500000002"/>
    <n v="0.26350859048821873"/>
    <n v="-0.92762973500000001"/>
    <n v="0.28340583699999999"/>
    <n v="-0.66412114451178128"/>
    <n v="0.33981446211720079"/>
    <n v="-0.18157598999999999"/>
    <n v="-0.95194763900000001"/>
    <n v="-1.2208396677130032E-2"/>
    <n v="-1.1335236289999999"/>
    <n v="0.24351141400000001"/>
    <n v="-1.14573202567713"/>
    <n v="0.24126950919565751"/>
    <n v="-0.17169891500000001"/>
    <n v="0.26345862599999997"/>
    <n v="-1.030576682"/>
    <n v="-0.90492658509445567"/>
    <n v="0.29054198565642914"/>
    <x v="0"/>
    <n v="6.34E-14"/>
    <n v="3.8800000000000001E-39"/>
    <n v="1.1399999999999999E-20"/>
    <n v="1"/>
  </r>
  <r>
    <x v="0"/>
    <s v="Diatraea_SAM_12"/>
    <x v="33"/>
    <n v="-4.3547592000000003E-2"/>
    <n v="-0.76580789500000002"/>
    <n v="-0.58307157706059798"/>
    <n v="-0.80935548700000004"/>
    <n v="0.30802785500000002"/>
    <n v="-1.392427064060598"/>
    <n v="0.19902057256043906"/>
    <n v="-0.21852980399999999"/>
    <n v="-0.95194763900000001"/>
    <n v="-0.76434299473732881"/>
    <n v="-1.1704774440000001"/>
    <n v="0.236768695"/>
    <n v="-1.9348204377373288"/>
    <n v="0.12621798987643584"/>
    <n v="-0.13103869800000001"/>
    <n v="0.27239827500000002"/>
    <n v="-0.98991646550000012"/>
    <n v="-1.6636237508989633"/>
    <n v="0.16261928121843744"/>
    <x v="0"/>
    <n v="3.1499999999999998E-14"/>
    <n v="2.0600000000000001E-38"/>
    <n v="1.89E-17"/>
    <n v="1"/>
  </r>
  <r>
    <x v="0"/>
    <s v="Diatraea_SAM_12"/>
    <x v="34"/>
    <n v="-6.3501970000000005E-2"/>
    <n v="-0.76580789500000002"/>
    <n v="-0.58307157706059798"/>
    <n v="-0.82930986500000003"/>
    <n v="0.303791015"/>
    <n v="-1.412381442060598"/>
    <n v="0.19585871213820247"/>
    <n v="-0.27344492500000001"/>
    <n v="-0.95194763900000001"/>
    <n v="-0.76434299473732881"/>
    <n v="-1.2253925640000001"/>
    <n v="0.22698885199999999"/>
    <n v="-1.9897355587373289"/>
    <n v="0.12028484188019102"/>
    <n v="-0.168473447"/>
    <n v="0.26538993399999999"/>
    <n v="-1.0273512145000001"/>
    <n v="-1.7010585003989633"/>
    <n v="0.15807177700919675"/>
    <x v="0"/>
    <n v="9.1193700000000003E-4"/>
    <n v="0.99908674900000005"/>
    <n v="1.31E-6"/>
    <n v="7.7200000000000002E-16"/>
  </r>
  <r>
    <x v="0"/>
    <s v="Diatraea_SAM_12"/>
    <x v="35"/>
    <n v="-0.52370525800000001"/>
    <n v="-0.76580789500000002"/>
    <n v="-0.58307157706059798"/>
    <n v="-1.2895131529999999"/>
    <n v="0.21593522600000001"/>
    <n v="-1.872584730060598"/>
    <n v="0.13324293091262931"/>
    <n v="-1.016212401"/>
    <n v="-0.95194763900000001"/>
    <n v="-0.76434299473732881"/>
    <n v="-1.9681600400000001"/>
    <n v="0.122586654"/>
    <n v="-2.7325030347373289"/>
    <n v="6.1082452498430771E-2"/>
    <n v="-0.76995882900000001"/>
    <n v="0.16926094"/>
    <n v="-1.6288365965"/>
    <n v="-2.3025438823989637"/>
    <n v="9.7162691705530047E-2"/>
    <x v="0"/>
    <n v="3.1800000000000002E-26"/>
    <n v="1"/>
    <n v="3.7999999999999998E-29"/>
    <n v="4.5899999999999999E-42"/>
  </r>
  <r>
    <x v="0"/>
    <s v="Diatraea_SAM_12"/>
    <x v="36"/>
    <n v="7.8378117999999997E-2"/>
    <n v="-0.76580789500000002"/>
    <n v="-0.58307157706059798"/>
    <n v="-0.68742977699999996"/>
    <n v="0.334605076"/>
    <n v="-1.2705013540605981"/>
    <n v="0.21917144062017077"/>
    <n v="0.17148735200000001"/>
    <n v="-0.95194763900000001"/>
    <n v="-0.76434299473732881"/>
    <n v="-0.78046028700000003"/>
    <n v="0.31422069200000002"/>
    <n v="-1.5448032817373289"/>
    <n v="0.17583810349769066"/>
    <n v="0.124932735"/>
    <n v="0.32441288400000001"/>
    <n v="-0.73394503200000005"/>
    <n v="-1.4076523178989635"/>
    <n v="0.19750477205893072"/>
    <x v="0"/>
    <n v="3.3100000000000001E-15"/>
    <n v="2.4799999999999999E-35"/>
    <n v="3.64E-15"/>
    <n v="1"/>
  </r>
  <r>
    <x v="0"/>
    <s v="Diatraea_SAM_12"/>
    <x v="37"/>
    <n v="0.25242897399999997"/>
    <n v="-0.76580789500000002"/>
    <n v="-0.58307157706059798"/>
    <n v="-0.51337892100000004"/>
    <n v="0.37440176200000003"/>
    <n v="-1.096450498060598"/>
    <n v="0.25040555476208609"/>
    <n v="0.45976068399999998"/>
    <n v="-0.95194763900000001"/>
    <n v="-0.76434299473732881"/>
    <n v="-0.49218695600000001"/>
    <n v="0.379378512"/>
    <n v="-1.2565299497373288"/>
    <n v="0.2215718203835757"/>
    <n v="0.356094829"/>
    <n v="0.37689013700000001"/>
    <n v="-0.5027829385"/>
    <n v="-1.1764902238989634"/>
    <n v="0.2359886875728309"/>
    <x v="1"/>
    <n v="3.04E-11"/>
    <n v="1.0000000000000001E-32"/>
    <n v="6.7800000000000004E-13"/>
    <n v="1"/>
  </r>
  <r>
    <x v="0"/>
    <s v="Diatraea_SAM_12"/>
    <x v="38"/>
    <n v="3.4446268000000002E-2"/>
    <n v="-0.76580789500000002"/>
    <n v="-0.58307157706059798"/>
    <n v="-0.73136162699999996"/>
    <n v="0.32489599899999999"/>
    <n v="-1.3144332040605979"/>
    <n v="0.2117459542218417"/>
    <n v="-0.113310375"/>
    <n v="-0.95194763900000001"/>
    <n v="-0.76434299473732881"/>
    <n v="-1.0652580149999999"/>
    <n v="0.25630592400000002"/>
    <n v="-1.8296010087373289"/>
    <n v="0.13828581124538145"/>
    <n v="-3.9432054000000001E-2"/>
    <n v="0.29060096200000002"/>
    <n v="-0.89830982100000001"/>
    <n v="-1.5720171063989634"/>
    <n v="0.17501588273361157"/>
    <x v="0"/>
    <n v="4.8900000000000004E-12"/>
    <n v="3.19E-30"/>
    <n v="4.4100000000000003E-14"/>
    <n v="1"/>
  </r>
  <r>
    <x v="0"/>
    <s v="Diatraea_SAM_12"/>
    <x v="39"/>
    <n v="-0.17521094500000001"/>
    <n v="-0.76580789500000002"/>
    <n v="-0.58307157706059798"/>
    <n v="-0.94101884000000002"/>
    <n v="0.28069458800000002"/>
    <n v="-1.524090417060598"/>
    <n v="0.17885997425205569"/>
    <n v="-0.113310375"/>
    <n v="-0.95194763900000001"/>
    <n v="-0.76434299473732881"/>
    <n v="-1.0652580149999999"/>
    <n v="0.25630592400000002"/>
    <n v="-1.8296010087373289"/>
    <n v="0.13828581124538145"/>
    <n v="-0.14426066000000001"/>
    <n v="0.26850025599999999"/>
    <n v="-1.0031384274999999"/>
    <n v="-1.6768457128989636"/>
    <n v="0.15857289274871855"/>
    <x v="0"/>
    <n v="4.4100000000000002E-16"/>
    <n v="3.4800000000000002E-38"/>
    <n v="7.3500000000000003E-21"/>
    <n v="1"/>
  </r>
  <r>
    <x v="0"/>
    <s v="Diatraea_SAM_12"/>
    <x v="40"/>
    <n v="0.54915389999999997"/>
    <n v="-0.76580789500000002"/>
    <n v="-0.58307157706059798"/>
    <n v="-0.21665399499999999"/>
    <n v="0.446047376"/>
    <n v="-0.79972557206059802"/>
    <n v="0.31008422472984243"/>
    <n v="0.85061672700000002"/>
    <n v="-0.95194763900000001"/>
    <n v="-0.76434299473732881"/>
    <n v="-0.101330912"/>
    <n v="0.47468892600000001"/>
    <n v="-0.8656739067373288"/>
    <n v="0.29615526864861347"/>
    <n v="0.69988531399999998"/>
    <n v="0.460368151"/>
    <n v="-0.15899245349999999"/>
    <n v="-0.83269973939896347"/>
    <n v="0.30311974668922792"/>
    <x v="0"/>
    <n v="1.1499999999999999E-12"/>
    <n v="3.8999999999999998E-40"/>
    <n v="7.2999999999999997E-18"/>
    <n v="1"/>
  </r>
  <r>
    <x v="0"/>
    <s v="Diatraea_SAM_12"/>
    <x v="41"/>
    <n v="-0.34002046699999999"/>
    <n v="-0.76580789500000002"/>
    <n v="-0.58307157706059798"/>
    <n v="-1.105828362"/>
    <n v="0.24864942900000001"/>
    <n v="-1.6888999390605979"/>
    <n v="0.15592056362590462"/>
    <n v="-0.44865547500000003"/>
    <n v="-0.95194763900000001"/>
    <n v="-0.76434299473732881"/>
    <n v="-1.400603115"/>
    <n v="0.19772042400000001"/>
    <n v="-2.164946108737329"/>
    <n v="0.10294280233068812"/>
    <n v="-0.39433797100000001"/>
    <n v="0.22318492600000001"/>
    <n v="-1.2532157385"/>
    <n v="-1.9269230238989634"/>
    <n v="0.12943168297829638"/>
    <x v="0"/>
    <n v="1.4500000000000001E-15"/>
    <n v="2.6200000000000001E-36"/>
    <n v="1.55E-20"/>
    <n v="1"/>
  </r>
  <r>
    <x v="0"/>
    <s v="Diatraea_SAM_12"/>
    <x v="42"/>
    <n v="2.8611681999999999E-2"/>
    <n v="-0.76580789500000002"/>
    <n v="-0.58307157706059798"/>
    <n v="-0.73719621199999996"/>
    <n v="0.323617559"/>
    <n v="-1.3202677900605981"/>
    <n v="0.21077374364031351"/>
    <n v="0.21518943700000001"/>
    <n v="-0.95194763900000001"/>
    <n v="-0.76434299473732881"/>
    <n v="-0.73675820199999997"/>
    <n v="0.32371344200000002"/>
    <n v="-1.5011011967373289"/>
    <n v="0.18226134165300883"/>
    <n v="0.12190056000000001"/>
    <n v="0.32366549999999999"/>
    <n v="-0.73697720700000002"/>
    <n v="-1.4106844933989635"/>
    <n v="0.19651754264666116"/>
    <x v="0"/>
    <n v="3.8499999999999998E-15"/>
    <n v="1.0899999999999999E-36"/>
    <n v="1.4200000000000001E-17"/>
    <n v="1"/>
  </r>
  <r>
    <x v="0"/>
    <s v="Diatraea_SAM_12"/>
    <x v="2"/>
    <n v="7.1428508000000002E-2"/>
    <n v="-0.76580789500000002"/>
    <n v="-0.58307157706059798"/>
    <n v="-0.69437938600000004"/>
    <n v="0.33305956599999997"/>
    <n v="-1.277450964060598"/>
    <n v="0.21798443827658737"/>
    <n v="0.42087736100000001"/>
    <n v="-0.95194763900000001"/>
    <n v="-0.76434299473732881"/>
    <n v="-0.53107027799999995"/>
    <n v="0.370267297"/>
    <n v="-1.2954132727373289"/>
    <n v="0.21493796766451606"/>
    <n v="0.24615293499999999"/>
    <n v="0.351663432"/>
    <n v="-0.61272483200000005"/>
    <n v="-1.2864321183989635"/>
    <n v="0.21646120297055171"/>
    <x v="1"/>
    <n v="2E-14"/>
    <n v="2.4500000000000002E-35"/>
    <n v="1.3600000000000001E-12"/>
    <n v="1"/>
  </r>
  <r>
    <x v="0"/>
    <s v="Diatraea_SAM_12"/>
    <x v="3"/>
    <n v="-5.4682824999999997E-2"/>
    <n v="-0.76580789500000002"/>
    <n v="-0.58307157706059798"/>
    <n v="-0.82049072000000001"/>
    <n v="0.30565950400000003"/>
    <n v="-1.4035622970605979"/>
    <n v="0.19725143714889506"/>
    <n v="0.12681276999999999"/>
    <n v="-0.95194763900000001"/>
    <n v="-0.76434299473732881"/>
    <n v="-0.82513486899999999"/>
    <n v="0.30467475799999999"/>
    <n v="-1.5894778637373288"/>
    <n v="0.16945737052908288"/>
    <n v="3.6064973E-2"/>
    <n v="0.30516713099999998"/>
    <n v="-0.8228127945"/>
    <n v="-1.4965200803989633"/>
    <n v="0.18335440383898899"/>
    <x v="1"/>
    <n v="1.2099999999999999E-16"/>
    <n v="7.3199999999999999E-41"/>
    <n v="4.96E-19"/>
    <n v="1"/>
  </r>
  <r>
    <x v="0"/>
    <s v="Diatraea_SAM_12"/>
    <x v="43"/>
    <n v="-3.6198068999999999E-2"/>
    <n v="-0.76580789500000002"/>
    <n v="-0.58307157706059798"/>
    <n v="-0.80200596400000002"/>
    <n v="0.30959658699999998"/>
    <n v="-1.385077541060598"/>
    <n v="0.20019476228265129"/>
    <n v="3.4312054000000002E-2"/>
    <n v="-0.95194763900000001"/>
    <n v="-0.76434299473732881"/>
    <n v="-0.91763558599999995"/>
    <n v="0.28543990499999999"/>
    <n v="-1.6819785797373288"/>
    <n v="0.15683365003627453"/>
    <n v="-9.4300799999999995E-4"/>
    <n v="0.29751824599999999"/>
    <n v="-0.85982077499999998"/>
    <n v="-1.5335280603989634"/>
    <n v="0.1785142061594629"/>
    <x v="0"/>
    <n v="3.5499999999999998E-17"/>
    <n v="2.6900000000000002E-41"/>
    <n v="6.4100000000000002E-21"/>
    <n v="1"/>
  </r>
  <r>
    <x v="0"/>
    <s v="Diatraea_SAM_12"/>
    <x v="44"/>
    <n v="0.13026306000000001"/>
    <n v="-0.76580789500000002"/>
    <n v="-0.58307157706059798"/>
    <n v="-0.63554483500000003"/>
    <n v="0.34625432900000003"/>
    <n v="-1.218616412060598"/>
    <n v="0.22818002800000117"/>
    <n v="3.4312054000000002E-2"/>
    <n v="-0.95194763900000001"/>
    <n v="-0.76434299473732881"/>
    <n v="-0.91763558599999995"/>
    <n v="0.28543990499999999"/>
    <n v="-1.6819785797373288"/>
    <n v="0.15683365003627453"/>
    <n v="8.2287556999999997E-2"/>
    <n v="0.31584711700000001"/>
    <n v="-0.77659021049999999"/>
    <n v="-1.4502974958989634"/>
    <n v="0.19250683901813787"/>
    <x v="0"/>
    <n v="3.7799999999999999E-15"/>
    <n v="3.8000000000000001E-34"/>
    <n v="6.2100000000000003E-20"/>
    <n v="1"/>
  </r>
  <r>
    <x v="0"/>
    <s v="Diatraea_SAM_12"/>
    <x v="45"/>
    <n v="-1.7615012999999999E-2"/>
    <n v="-0.76580789500000002"/>
    <n v="-0.58307157706059798"/>
    <n v="-0.78342290699999995"/>
    <n v="0.31358264000000002"/>
    <n v="-1.366494485060598"/>
    <n v="0.20318680556509686"/>
    <n v="3.4312054000000002E-2"/>
    <n v="-0.95194763900000001"/>
    <n v="-0.76434299473732881"/>
    <n v="-0.91763558599999995"/>
    <n v="0.28543990499999999"/>
    <n v="-1.6819785797373288"/>
    <n v="0.15683365003627453"/>
    <n v="8.3485209999999994E-3"/>
    <n v="0.29951127300000002"/>
    <n v="-0.85052924649999995"/>
    <n v="-1.5242365323989633"/>
    <n v="0.18001022780068571"/>
    <x v="0"/>
    <n v="1.2499999999999999E-12"/>
    <n v="7.52E-34"/>
    <n v="3.7400000000000001E-18"/>
    <n v="1"/>
  </r>
  <r>
    <x v="0"/>
    <s v="Diatraea_SAM_12"/>
    <x v="46"/>
    <n v="0.182136252"/>
    <n v="-0.76580789500000002"/>
    <n v="-0.58307157706059798"/>
    <n v="-0.58367164299999996"/>
    <n v="0.358088187"/>
    <n v="-1.1667432200605981"/>
    <n v="0.23744416696831763"/>
    <n v="3.4312054000000002E-2"/>
    <n v="-0.95194763900000001"/>
    <n v="-0.76434299473732881"/>
    <n v="-0.91763558599999995"/>
    <n v="0.28543990499999999"/>
    <n v="-1.6819785797373288"/>
    <n v="0.15683365003627453"/>
    <n v="0.108224153"/>
    <n v="0.32176404600000003"/>
    <n v="-0.75065361450000001"/>
    <n v="-1.4243608998989634"/>
    <n v="0.1971389085022961"/>
    <x v="0"/>
    <n v="6.4299999999999999E-13"/>
    <n v="1.2299999999999999E-33"/>
    <n v="9.2999999999999995E-17"/>
    <n v="1"/>
  </r>
  <r>
    <x v="0"/>
    <s v="Diatraea_SAM_13"/>
    <x v="47"/>
    <n v="-0.32961180099999998"/>
    <n v="-0.76580789500000002"/>
    <n v="1.8542134737425525E-2"/>
    <n v="-1.095419696"/>
    <n v="0.250599089"/>
    <n v="-1.0768775612625745"/>
    <n v="0.25409736386246312"/>
    <n v="-0.29919794199999999"/>
    <n v="-0.95194763900000001"/>
    <n v="8.7894785803348752E-2"/>
    <n v="-1.2511455819999999"/>
    <n v="0.222501896"/>
    <n v="-1.1632507951966513"/>
    <n v="0.23807710063080756"/>
    <n v="-0.314404872"/>
    <n v="0.236550493"/>
    <n v="-1.173282639"/>
    <n v="-1.120064178229613"/>
    <n v="0.24608723224663534"/>
    <x v="0"/>
    <n v="2.2199999999999999E-14"/>
    <n v="1.05E-31"/>
    <n v="3.5900000000000002E-18"/>
    <n v="1"/>
  </r>
  <r>
    <x v="0"/>
    <s v="Diatraea_SAM_13"/>
    <x v="48"/>
    <n v="-0.31197069100000002"/>
    <n v="-0.76580789500000002"/>
    <n v="1.8542134737425525E-2"/>
    <n v="-1.077778586"/>
    <n v="0.25392662900000001"/>
    <n v="-1.0592364512625745"/>
    <n v="0.25745539688993674"/>
    <n v="-0.57446528299999999"/>
    <n v="-0.95194763900000001"/>
    <n v="8.7894785803348752E-2"/>
    <n v="-1.5264129230000001"/>
    <n v="0.178519124"/>
    <n v="-1.4385181361966513"/>
    <n v="0.19177492855573966"/>
    <n v="-0.44321798699999998"/>
    <n v="0.21622287700000001"/>
    <n v="-1.3020957545"/>
    <n v="-1.2488772937296129"/>
    <n v="0.22461516272283821"/>
    <x v="0"/>
    <n v="0.99934531800000004"/>
    <n v="2.3400000000000001E-8"/>
    <n v="6.5465900000000004E-4"/>
    <n v="6.87E-13"/>
  </r>
  <r>
    <x v="0"/>
    <s v="Diatraea_SAM_13"/>
    <x v="49"/>
    <n v="-6.8896111999999995E-2"/>
    <n v="-0.76580789500000002"/>
    <n v="1.8542134737425525E-2"/>
    <n v="-0.83470400600000005"/>
    <n v="0.30265135199999998"/>
    <n v="-0.81616187226257453"/>
    <n v="0.30657899471461891"/>
    <n v="-0.33651239599999999"/>
    <n v="-0.95194763900000001"/>
    <n v="8.7894785803348752E-2"/>
    <n v="-1.2884600349999999"/>
    <n v="0.21611358"/>
    <n v="-1.2005652491966512"/>
    <n v="0.2313746770742128"/>
    <n v="-0.202704254"/>
    <n v="0.25938246599999998"/>
    <n v="-1.0615820204999999"/>
    <n v="-1.0083635607296129"/>
    <n v="0.26897683589441584"/>
    <x v="0"/>
    <n v="4.4799999999999998E-16"/>
    <n v="2.7000000000000001E-36"/>
    <n v="1.24E-19"/>
    <n v="1"/>
  </r>
  <r>
    <x v="0"/>
    <s v="Diatraea_SAM_13"/>
    <x v="50"/>
    <n v="-5.2959249999999999E-3"/>
    <n v="-0.76580789500000002"/>
    <n v="1.8542134737425525E-2"/>
    <n v="-0.77110382"/>
    <n v="0.31624037599999999"/>
    <n v="-0.7525616852625745"/>
    <n v="0.32026337882128292"/>
    <n v="-0.15543589099999999"/>
    <n v="-0.95194763900000001"/>
    <n v="8.7894785803348752E-2"/>
    <n v="-1.1073835299999999"/>
    <n v="0.248359001"/>
    <n v="-1.0194887441966511"/>
    <n v="0.26512699892897096"/>
    <n v="-8.0365908E-2"/>
    <n v="0.28229968900000002"/>
    <n v="-0.93924367499999994"/>
    <n v="-0.88602521472961282"/>
    <n v="0.29269518887512691"/>
    <x v="0"/>
    <n v="1.5E-11"/>
    <n v="2.1500000000000002E-33"/>
    <n v="1.4300000000000001E-16"/>
    <n v="1"/>
  </r>
  <r>
    <x v="0"/>
    <s v="Diatraea_SAM_13"/>
    <x v="51"/>
    <n v="0.28910890500000003"/>
    <n v="-0.76580789500000002"/>
    <n v="1.8542134737425525E-2"/>
    <n v="-0.47669898999999999"/>
    <n v="0.383031913"/>
    <n v="-0.45815685526257444"/>
    <n v="0.38742315999837473"/>
    <n v="0.29737073800000002"/>
    <n v="-0.95194763900000001"/>
    <n v="8.7894785803348752E-2"/>
    <n v="-0.65457690099999999"/>
    <n v="0.34195888600000002"/>
    <n v="-0.56668211519665124"/>
    <n v="0.36200276138894494"/>
    <n v="0.29323982199999998"/>
    <n v="0.362495399"/>
    <n v="-0.56563794550000002"/>
    <n v="-0.51241948522961289"/>
    <n v="0.37471296069365984"/>
    <x v="0"/>
    <n v="7.8300000000000005E-14"/>
    <n v="5.2100000000000002E-31"/>
    <n v="1.3399999999999999E-19"/>
    <n v="1"/>
  </r>
  <r>
    <x v="0"/>
    <s v="Diatraea_SAM_13"/>
    <x v="52"/>
    <n v="0.28599122399999999"/>
    <n v="-0.76580789500000002"/>
    <n v="1.8542134737425525E-2"/>
    <n v="-0.47981667"/>
    <n v="0.38229541700000003"/>
    <n v="-0.46127453626257453"/>
    <n v="0.3866835120183057"/>
    <n v="0.38748934600000001"/>
    <n v="-0.95194763900000001"/>
    <n v="8.7894785803348752E-2"/>
    <n v="-0.56445829300000006"/>
    <n v="0.36251652600000001"/>
    <n v="-0.47656350719665119"/>
    <n v="0.38306393065381594"/>
    <n v="0.33674028499999997"/>
    <n v="0.372405971"/>
    <n v="-0.52213748150000006"/>
    <n v="-0.46891902172961286"/>
    <n v="0.38487372133606079"/>
    <x v="0"/>
    <n v="5.34E-15"/>
    <n v="6.2200000000000004E-36"/>
    <n v="2.93E-21"/>
    <n v="1"/>
  </r>
  <r>
    <x v="0"/>
    <s v="Diatraea_SAM_13"/>
    <x v="53"/>
    <n v="-4.1006883000000001E-2"/>
    <n v="-0.76580789500000002"/>
    <n v="1.8542134737425525E-2"/>
    <n v="-0.80681477800000001"/>
    <n v="0.30856966200000002"/>
    <n v="-0.78827264326257451"/>
    <n v="0.31253968668923149"/>
    <n v="-0.120731477"/>
    <n v="-0.95194763900000001"/>
    <n v="8.7894785803348752E-2"/>
    <n v="-1.0726791170000001"/>
    <n v="0.25489392399999999"/>
    <n v="-0.98478433019665124"/>
    <n v="0.27194350014805718"/>
    <n v="-8.0869179999999999E-2"/>
    <n v="0.28173179300000001"/>
    <n v="-0.93974694749999998"/>
    <n v="-0.88652848672961282"/>
    <n v="0.29224159341864431"/>
    <x v="0"/>
    <n v="2.41E-14"/>
    <n v="1.6599999999999999E-37"/>
    <n v="3.11E-18"/>
    <n v="1"/>
  </r>
  <r>
    <x v="0"/>
    <s v="Diatraea_SAM_13"/>
    <x v="54"/>
    <n v="0.13880404099999999"/>
    <n v="-0.76580789500000002"/>
    <n v="1.8542134737425525E-2"/>
    <n v="-0.62700385400000003"/>
    <n v="0.34819021500000003"/>
    <n v="-0.60846171926257453"/>
    <n v="0.3524101803571334"/>
    <n v="-5.2632523000000001E-2"/>
    <n v="-0.95194763900000001"/>
    <n v="8.7894785803348752E-2"/>
    <n v="-1.0045801620000001"/>
    <n v="0.26804186000000002"/>
    <n v="-0.91668537619665136"/>
    <n v="0.28563375286807086"/>
    <n v="4.3085759000000001E-2"/>
    <n v="0.30811603799999998"/>
    <n v="-0.81579200800000007"/>
    <n v="-0.76257354772961294"/>
    <n v="0.31902196661260213"/>
    <x v="0"/>
    <n v="1.1000000000000001E-11"/>
    <n v="5.3599999999999996E-35"/>
    <n v="8.74E-17"/>
    <n v="1"/>
  </r>
  <r>
    <x v="0"/>
    <s v="Diatraea_SAM_13"/>
    <x v="55"/>
    <n v="-0.24633927899999999"/>
    <n v="-0.76580789500000002"/>
    <n v="1.8542134737425525E-2"/>
    <n v="-1.012147173"/>
    <n v="0.26655985599999998"/>
    <n v="-0.9936050392625746"/>
    <n v="0.27020060325276457"/>
    <n v="-0.45225388599999999"/>
    <n v="-0.95194763900000001"/>
    <n v="8.7894785803348752E-2"/>
    <n v="-1.404201525"/>
    <n v="0.197150239"/>
    <n v="-1.3163067391966512"/>
    <n v="0.21143341209323077"/>
    <n v="-0.34929658200000002"/>
    <n v="0.23185504700000001"/>
    <n v="-1.2081743490000001"/>
    <n v="-1.1549558892296128"/>
    <n v="0.24081700767299768"/>
    <x v="0"/>
    <n v="2.9500000000000002E-10"/>
    <n v="1.4600000000000001E-24"/>
    <n v="3.1399999999999997E-14"/>
    <n v="1"/>
  </r>
  <r>
    <x v="0"/>
    <s v="Diatraea_SAM_13"/>
    <x v="56"/>
    <n v="-0.119131153"/>
    <n v="-0.76580789500000002"/>
    <n v="1.8542134737425525E-2"/>
    <n v="-0.88493904700000003"/>
    <n v="0.29215533300000002"/>
    <n v="-0.86639691326257451"/>
    <n v="0.29600458208701769"/>
    <n v="-0.19060865599999999"/>
    <n v="-0.95194763900000001"/>
    <n v="8.7894785803348752E-2"/>
    <n v="-1.1425562950000001"/>
    <n v="0.241851331"/>
    <n v="-1.0546615091966511"/>
    <n v="0.25833096827392299"/>
    <n v="-0.154869904"/>
    <n v="0.26700333199999998"/>
    <n v="-1.013747671"/>
    <n v="-0.96052921122961288"/>
    <n v="0.27716777518047031"/>
    <x v="0"/>
    <n v="2.1700000000000002E-14"/>
    <n v="4.0699999999999997E-31"/>
    <n v="2.47E-18"/>
    <n v="1"/>
  </r>
  <r>
    <x v="0"/>
    <s v="Diatraea_SAM_13"/>
    <x v="57"/>
    <n v="0.29136211200000001"/>
    <n v="-0.76580789500000002"/>
    <n v="1.8542134737425525E-2"/>
    <n v="-0.47444578300000001"/>
    <n v="0.38356452800000002"/>
    <n v="-0.45590364826257446"/>
    <n v="0.38795804107934323"/>
    <n v="0.446672817"/>
    <n v="-0.95194763900000001"/>
    <n v="8.7894785803348752E-2"/>
    <n v="-0.50527482199999996"/>
    <n v="0.37630186900000001"/>
    <n v="-0.41738003619665132"/>
    <n v="0.39714385412547121"/>
    <n v="0.36901746499999999"/>
    <n v="0.37993319800000003"/>
    <n v="-0.48986030250000001"/>
    <n v="-0.43664184222961289"/>
    <n v="0.39255094760240722"/>
    <x v="1"/>
    <n v="3.12E-12"/>
    <n v="3.0899999999999999E-35"/>
    <n v="4.0300000000000003E-17"/>
    <n v="1"/>
  </r>
  <r>
    <x v="0"/>
    <s v="Diatraea_SAM_13"/>
    <x v="58"/>
    <n v="0.123864155"/>
    <n v="-0.76580789500000002"/>
    <n v="1.8542134737425525E-2"/>
    <n v="-0.64194373999999998"/>
    <n v="0.34480728700000002"/>
    <n v="-0.62340160526257449"/>
    <n v="0.34900820527836895"/>
    <n v="0.20532642400000001"/>
    <n v="-0.95194763900000001"/>
    <n v="8.7894785803348752E-2"/>
    <n v="-0.746621215"/>
    <n v="0.32155796599999997"/>
    <n v="-0.65872642919665125"/>
    <n v="0.34102575956401388"/>
    <n v="0.16459529000000001"/>
    <n v="0.33318262599999998"/>
    <n v="-0.69428247750000005"/>
    <n v="-0.64106401722961293"/>
    <n v="0.34501698242119139"/>
    <x v="0"/>
    <n v="1.9000000000000001E-16"/>
    <n v="8.3099999999999997E-39"/>
    <n v="1.7599999999999999E-17"/>
    <n v="1"/>
  </r>
  <r>
    <x v="0"/>
    <s v="Diatraea_SAM_13"/>
    <x v="2"/>
    <n v="-8.8344949999999995E-3"/>
    <n v="-0.76580789500000002"/>
    <n v="1.8542134737425525E-2"/>
    <n v="-0.77464239000000001"/>
    <n v="0.31547572099999999"/>
    <n v="-0.75610025526257452"/>
    <n v="0.31949354114858947"/>
    <n v="0.236244861"/>
    <n v="-0.95194763900000001"/>
    <n v="8.7894785803348752E-2"/>
    <n v="-0.71570277800000004"/>
    <n v="0.32833996100000001"/>
    <n v="-0.62780799219665129"/>
    <n v="0.34800773491462839"/>
    <n v="0.113705183"/>
    <n v="0.32190784099999997"/>
    <n v="-0.74517258400000008"/>
    <n v="-0.69195412372961296"/>
    <n v="0.33375063803160893"/>
    <x v="1"/>
    <n v="2E-14"/>
    <n v="2.4500000000000002E-35"/>
    <n v="1.3600000000000001E-12"/>
    <n v="1"/>
  </r>
  <r>
    <x v="0"/>
    <s v="Diatraea_SAM_13"/>
    <x v="3"/>
    <n v="-0.205118146"/>
    <n v="-0.76580789500000002"/>
    <n v="1.8542134737425525E-2"/>
    <n v="-0.97092604100000002"/>
    <n v="0.27469596099999999"/>
    <n v="-0.95238390626257452"/>
    <n v="0.27840565197641565"/>
    <n v="7.8930050000000002E-2"/>
    <n v="-0.95194763900000001"/>
    <n v="8.7894785803348752E-2"/>
    <n v="-0.87301759000000001"/>
    <n v="0.294626793"/>
    <n v="-0.78512280319665129"/>
    <n v="0.31321685630192236"/>
    <n v="-6.3094048E-2"/>
    <n v="0.28466137699999999"/>
    <n v="-0.92197181550000007"/>
    <n v="-0.8687533547296129"/>
    <n v="0.29581125413916898"/>
    <x v="1"/>
    <n v="1.2099999999999999E-16"/>
    <n v="7.3199999999999999E-41"/>
    <n v="4.96E-19"/>
    <n v="1"/>
  </r>
  <r>
    <x v="0"/>
    <s v="Diatraea_SAM_13"/>
    <x v="59"/>
    <n v="-9.4794138E-2"/>
    <n v="-0.76580789500000002"/>
    <n v="1.8542134737425525E-2"/>
    <n v="-0.86060203300000004"/>
    <n v="0.29721357900000001"/>
    <n v="-0.84205989826257455"/>
    <n v="0.30110112305678943"/>
    <n v="-8.6471322000000003E-2"/>
    <n v="-0.95194763900000001"/>
    <n v="8.7894785803348752E-2"/>
    <n v="-1.0384189610000001"/>
    <n v="0.26145517200000001"/>
    <n v="-0.95052417519665133"/>
    <n v="0.27877941832979997"/>
    <n v="-9.0632729999999995E-2"/>
    <n v="0.27933437500000002"/>
    <n v="-0.94951049700000012"/>
    <n v="-0.896292036729613"/>
    <n v="0.2899402706932947"/>
    <x v="0"/>
    <n v="4.1699999999999998E-17"/>
    <n v="1.21E-39"/>
    <n v="1.3100000000000001E-14"/>
    <n v="1"/>
  </r>
  <r>
    <x v="0"/>
    <s v="Diatraea_SAM_13"/>
    <x v="60"/>
    <n v="0.341141519"/>
    <n v="-0.76580789500000002"/>
    <n v="1.8542134737425525E-2"/>
    <n v="-0.42466637600000001"/>
    <n v="0.39540066800000001"/>
    <n v="-0.40612424126257451"/>
    <n v="0.39984181847493727"/>
    <n v="0.70682336599999995"/>
    <n v="-0.95194763900000001"/>
    <n v="8.7894785803348752E-2"/>
    <n v="-0.245124273"/>
    <n v="0.43902394300000003"/>
    <n v="-0.15722948719665131"/>
    <n v="0.46077340534385902"/>
    <n v="0.52398244299999996"/>
    <n v="0.41721230599999998"/>
    <n v="-0.33489532450000004"/>
    <n v="-0.28167686422961291"/>
    <n v="0.43030761190939815"/>
    <x v="0"/>
    <n v="0.99219067599999999"/>
    <n v="2.34E-23"/>
    <n v="2.5072000000000001E-4"/>
    <n v="7.558604E-3"/>
  </r>
  <r>
    <x v="0"/>
    <s v="Diatraea_SAM_14"/>
    <x v="61"/>
    <n v="-1.4014197000000001E-2"/>
    <n v="-0.76580789500000002"/>
    <n v="0.10108352689561931"/>
    <n v="-0.77982209199999997"/>
    <n v="0.31435823099999999"/>
    <n v="-0.67873856510438069"/>
    <n v="0.33654289991996583"/>
    <n v="-0.17524656399999999"/>
    <n v="-0.95194763900000001"/>
    <n v="0.31611013044056913"/>
    <n v="-1.127194204"/>
    <n v="0.244679272"/>
    <n v="-0.81108407255943082"/>
    <n v="0.30765953452979833"/>
    <n v="-9.4630381E-2"/>
    <n v="0.27951875100000001"/>
    <n v="-0.95350814800000006"/>
    <n v="-0.74491131883190576"/>
    <n v="0.32210121722488205"/>
    <x v="0"/>
    <n v="2.26E-10"/>
    <n v="7.8799999999999993E-33"/>
    <n v="1.08E-15"/>
    <n v="1"/>
  </r>
  <r>
    <x v="0"/>
    <s v="Diatraea_SAM_14"/>
    <x v="62"/>
    <n v="0.191073146"/>
    <n v="-0.76580789500000002"/>
    <n v="0.10108352689561931"/>
    <n v="-0.57473474899999999"/>
    <n v="0.36014502599999998"/>
    <n v="-0.47365122210438071"/>
    <n v="0.38375241318840203"/>
    <n v="0.22425165499999999"/>
    <n v="-0.95194763900000001"/>
    <n v="0.31611013044056913"/>
    <n v="-0.72769598400000002"/>
    <n v="0.32570053100000002"/>
    <n v="-0.41158585355943089"/>
    <n v="0.39853192424676637"/>
    <n v="0.2076624"/>
    <n v="0.34292277799999998"/>
    <n v="-0.6512153665"/>
    <n v="-0.4426185378319058"/>
    <n v="0.39114216871758423"/>
    <x v="0"/>
    <n v="1.8000000000000001E-18"/>
    <n v="2.9799999999999998E-41"/>
    <n v="1.2800000000000001E-20"/>
    <n v="1"/>
  </r>
  <r>
    <x v="0"/>
    <s v="Diatraea_SAM_14"/>
    <x v="63"/>
    <n v="0.62890270599999998"/>
    <n v="-0.76580789500000002"/>
    <n v="0.10108352689561931"/>
    <n v="-0.13690518900000001"/>
    <n v="0.46582706200000001"/>
    <n v="-3.582166210438073E-2"/>
    <n v="0.49104554197711126"/>
    <n v="0.59795918999999997"/>
    <n v="-0.95194763900000001"/>
    <n v="0.31611013044056913"/>
    <n v="-0.35398844899999998"/>
    <n v="0.41241556800000001"/>
    <n v="-3.7878318559430912E-2"/>
    <n v="0.49053155241776292"/>
    <n v="0.61343094799999998"/>
    <n v="0.43912131500000001"/>
    <n v="-0.24544681899999998"/>
    <n v="-3.6849990331905821E-2"/>
    <n v="0.49078854719743709"/>
    <x v="0"/>
    <n v="1.7900000000000001E-14"/>
    <n v="6.2699999999999998E-35"/>
    <n v="2.4100000000000001E-19"/>
    <n v="1"/>
  </r>
  <r>
    <x v="0"/>
    <s v="Diatraea_SAM_14"/>
    <x v="64"/>
    <n v="-0.15916804500000001"/>
    <n v="-0.76580789500000002"/>
    <n v="0.10108352689561931"/>
    <n v="-0.92497594000000005"/>
    <n v="0.28394509800000001"/>
    <n v="-0.82389241310438077"/>
    <n v="0.30493803388239016"/>
    <n v="-4.7902749000000001E-2"/>
    <n v="-0.95194763900000001"/>
    <n v="0.31611013044056913"/>
    <n v="-0.99985038800000003"/>
    <n v="0.26897083799999999"/>
    <n v="-0.68374025755943091"/>
    <n v="0.33542702776456729"/>
    <n v="-0.103535397"/>
    <n v="0.276457968"/>
    <n v="-0.96241316399999999"/>
    <n v="-0.75381633533190584"/>
    <n v="0.32018253082347869"/>
    <x v="0"/>
    <n v="0.999845023"/>
    <n v="9.4999999999999994E-22"/>
    <n v="1.5497699999999999E-4"/>
    <n v="4.6999999999999999E-11"/>
  </r>
  <r>
    <x v="0"/>
    <s v="Diatraea_SAM_14"/>
    <x v="65"/>
    <n v="0.117221965"/>
    <n v="-0.76580789500000002"/>
    <n v="0.10108352689561931"/>
    <n v="-0.64858592999999998"/>
    <n v="0.34330826599999997"/>
    <n v="-0.5475024031043807"/>
    <n v="0.36644406445157507"/>
    <n v="4.4720955999999999E-2"/>
    <n v="-0.95194763900000001"/>
    <n v="0.31611013044056913"/>
    <n v="-0.90722668399999995"/>
    <n v="0.28756767900000002"/>
    <n v="-0.59111655255943085"/>
    <n v="0.35637870633077351"/>
    <n v="8.0971459999999995E-2"/>
    <n v="0.31543797200000001"/>
    <n v="-0.77790630699999996"/>
    <n v="-0.56930947783190577"/>
    <n v="0.36141138539117429"/>
    <x v="0"/>
    <n v="2.5800000000000001E-17"/>
    <n v="1.1E-36"/>
    <n v="1.48E-18"/>
    <n v="1"/>
  </r>
  <r>
    <x v="0"/>
    <s v="Diatraea_SAM_14"/>
    <x v="66"/>
    <n v="0.13967893300000001"/>
    <n v="-0.76580789500000002"/>
    <n v="0.10108352689561931"/>
    <n v="-0.62612896200000001"/>
    <n v="0.34838880100000003"/>
    <n v="-0.52504543510438073"/>
    <n v="0.37167320108140189"/>
    <n v="0.25358305199999998"/>
    <n v="-0.95194763900000001"/>
    <n v="0.31611013044056913"/>
    <n v="-0.69836458800000001"/>
    <n v="0.33217491900000001"/>
    <n v="-0.38225445655943091"/>
    <n v="0.40558326483736712"/>
    <n v="0.196630993"/>
    <n v="0.34028185999999999"/>
    <n v="-0.66224677500000007"/>
    <n v="-0.45364994583190582"/>
    <n v="0.38862823295938453"/>
    <x v="0"/>
    <n v="4.3800000000000002E-15"/>
    <n v="3.2299999999999999E-38"/>
    <n v="3.8699999999999999E-19"/>
    <n v="1"/>
  </r>
  <r>
    <x v="0"/>
    <s v="Diatraea_SAM_14"/>
    <x v="67"/>
    <n v="-0.12129546200000001"/>
    <n v="-0.76580789500000002"/>
    <n v="0.10108352689561931"/>
    <n v="-0.88710335699999998"/>
    <n v="0.29170795399999999"/>
    <n v="-0.7860198301043807"/>
    <n v="0.31302392733649942"/>
    <n v="-0.520133081"/>
    <n v="-0.95194763900000001"/>
    <n v="0.31611013044056913"/>
    <n v="-1.472080721"/>
    <n v="0.186626561"/>
    <n v="-1.155970589559431"/>
    <n v="0.23940022083793622"/>
    <n v="-0.32071427200000002"/>
    <n v="0.23916725699999999"/>
    <n v="-1.1795920390000001"/>
    <n v="-0.9709952098319059"/>
    <n v="0.27621207408721782"/>
    <x v="0"/>
    <n v="2.41E-14"/>
    <n v="5.3900000000000002E-33"/>
    <n v="4.4300000000000003E-18"/>
    <n v="1"/>
  </r>
  <r>
    <x v="0"/>
    <s v="Diatraea_SAM_14"/>
    <x v="68"/>
    <n v="6.4764098000000006E-2"/>
    <n v="-0.76580789500000002"/>
    <n v="0.10108352689561931"/>
    <n v="-0.701043796"/>
    <n v="0.33158084500000001"/>
    <n v="-0.59996027010438069"/>
    <n v="0.3543527834007969"/>
    <n v="-7.9294906999999998E-2"/>
    <n v="-0.95194763900000001"/>
    <n v="0.31611013044056913"/>
    <n v="-1.0312425460000001"/>
    <n v="0.26284328200000001"/>
    <n v="-0.71513241555943097"/>
    <n v="0.32846575741628742"/>
    <n v="-7.2654039999999996E-3"/>
    <n v="0.29721206300000003"/>
    <n v="-0.86614317100000005"/>
    <n v="-0.65754634283190583"/>
    <n v="0.34140927040854219"/>
    <x v="0"/>
    <n v="1.7200000000000001E-16"/>
    <n v="7.9299999999999993E-40"/>
    <n v="4.7600000000000003E-22"/>
    <n v="1"/>
  </r>
  <r>
    <x v="0"/>
    <s v="Diatraea_SAM_14"/>
    <x v="69"/>
    <n v="-6.9675982999999997E-2"/>
    <n v="-0.76580789500000002"/>
    <n v="0.10108352689561931"/>
    <n v="-0.83548387800000001"/>
    <n v="0.30248678299999998"/>
    <n v="-0.73440035110438073"/>
    <n v="0.32422984440621816"/>
    <n v="0.22425165499999999"/>
    <n v="-0.95194763900000001"/>
    <n v="0.31611013044056913"/>
    <n v="-0.72769598400000002"/>
    <n v="0.32570053100000002"/>
    <n v="-0.41158585355943089"/>
    <n v="0.39853192424676637"/>
    <n v="7.7287835999999999E-2"/>
    <n v="0.31409365700000003"/>
    <n v="-0.78158993100000007"/>
    <n v="-0.57299310233190581"/>
    <n v="0.36138088432649229"/>
    <x v="0"/>
    <n v="2.0999999999999999E-17"/>
    <n v="1.95E-37"/>
    <n v="6.3499999999999999E-23"/>
    <n v="1"/>
  </r>
  <r>
    <x v="0"/>
    <s v="Diatraea_SAM_14"/>
    <x v="2"/>
    <n v="0.10107323999999999"/>
    <n v="-0.76580789500000002"/>
    <n v="0.10108352689561931"/>
    <n v="-0.66473465499999995"/>
    <n v="0.33967683999999998"/>
    <n v="-0.56365112810438078"/>
    <n v="0.36270308073877305"/>
    <n v="0.28277755799999998"/>
    <n v="-0.95194763900000001"/>
    <n v="0.31611013044056913"/>
    <n v="-0.66917008099999997"/>
    <n v="0.338682698"/>
    <n v="-0.35305995055943096"/>
    <n v="0.4126405882414067"/>
    <n v="0.191925399"/>
    <n v="0.33917976900000002"/>
    <n v="-0.66695236800000002"/>
    <n v="-0.45835553933190587"/>
    <n v="0.38767183449008991"/>
    <x v="1"/>
    <n v="2E-14"/>
    <n v="2.4500000000000002E-35"/>
    <n v="1.3600000000000001E-12"/>
    <n v="1"/>
  </r>
  <r>
    <x v="0"/>
    <s v="Diatraea_SAM_14"/>
    <x v="3"/>
    <n v="0.22709542999999999"/>
    <n v="-0.76580789500000002"/>
    <n v="0.10108352689561931"/>
    <n v="-0.53871246500000003"/>
    <n v="0.36848714700000001"/>
    <n v="-0.43762893810438075"/>
    <n v="0.39230609063552396"/>
    <n v="0.36965118800000002"/>
    <n v="-0.95194763900000001"/>
    <n v="0.31611013044056913"/>
    <n v="-0.58229645100000005"/>
    <n v="0.35840435199999998"/>
    <n v="-0.26618632055943081"/>
    <n v="0.43384358626300595"/>
    <n v="0.29837330899999998"/>
    <n v="0.36344574899999998"/>
    <n v="-0.56050445800000004"/>
    <n v="-0.35190762933190578"/>
    <n v="0.41307483844926496"/>
    <x v="1"/>
    <n v="1.2099999999999999E-16"/>
    <n v="7.3199999999999999E-41"/>
    <n v="4.96E-19"/>
    <n v="1"/>
  </r>
  <r>
    <x v="0"/>
    <s v="Diatraea_SAM_14"/>
    <x v="70"/>
    <n v="-5.6032516999999997E-2"/>
    <n v="-0.76580789500000002"/>
    <n v="0.10108352689561931"/>
    <n v="-0.82184041200000002"/>
    <n v="0.30537313100000002"/>
    <n v="-0.72075688510438074"/>
    <n v="0.32722633345172764"/>
    <n v="1.4090197E-2"/>
    <n v="-0.95194763900000001"/>
    <n v="0.31611013044056913"/>
    <n v="-0.93785744199999999"/>
    <n v="0.28133333199999999"/>
    <n v="-0.62174731155943086"/>
    <n v="0.34938415707394427"/>
    <n v="-2.0971159999999999E-2"/>
    <n v="0.29335323200000002"/>
    <n v="-0.87984892700000006"/>
    <n v="-0.6712520983319058"/>
    <n v="0.33830524526283595"/>
    <x v="0"/>
    <n v="3.2900000000000002E-16"/>
    <n v="4.7499999999999996E-37"/>
    <n v="3.2399999999999998E-20"/>
    <n v="1"/>
  </r>
  <r>
    <x v="0"/>
    <s v="Diatraea_SAM_14"/>
    <x v="71"/>
    <n v="-0.34720188699999999"/>
    <n v="-0.76580789500000002"/>
    <n v="0.10108352689561931"/>
    <n v="-1.113009782"/>
    <n v="0.24731019800000001"/>
    <n v="-1.0119262551043806"/>
    <n v="0.26660304878228358"/>
    <n v="-0.59513308899999995"/>
    <n v="-0.95194763900000001"/>
    <n v="0.31611013044056913"/>
    <n v="-1.5470807289999999"/>
    <n v="0.175508302"/>
    <n v="-1.2309705975594309"/>
    <n v="0.22601159360615189"/>
    <n v="-0.47116748800000002"/>
    <n v="0.21140924999999999"/>
    <n v="-1.3300452555"/>
    <n v="-1.1214484263319058"/>
    <n v="0.24630732119421772"/>
    <x v="0"/>
    <n v="2.1499999999999999E-16"/>
    <n v="2.1400000000000001E-37"/>
    <n v="9.4099999999999996E-23"/>
    <n v="1"/>
  </r>
  <r>
    <x v="0"/>
    <s v="Diatraea_SAM_14"/>
    <x v="72"/>
    <n v="-0.54429720500000001"/>
    <n v="-0.76580789500000002"/>
    <n v="0.10108352689561931"/>
    <n v="-1.3101050999999999"/>
    <n v="0.21246925799999999"/>
    <n v="-1.2090215731043805"/>
    <n v="0.22987421810259809"/>
    <n v="-0.44742539599999998"/>
    <n v="-0.95194763900000001"/>
    <n v="0.31611013044056913"/>
    <n v="-1.399373035"/>
    <n v="0.19791561999999999"/>
    <n v="-1.0832629045594309"/>
    <n v="0.25288903904075399"/>
    <n v="-0.49586130099999998"/>
    <n v="0.205192439"/>
    <n v="-1.3547390674999999"/>
    <n v="-1.1461422388319056"/>
    <n v="0.24138162857167605"/>
    <x v="0"/>
    <n v="1.73E-16"/>
    <n v="4.17E-36"/>
    <n v="2.46E-21"/>
    <n v="1"/>
  </r>
  <r>
    <x v="0"/>
    <s v="Diatraea_SAM_14"/>
    <x v="73"/>
    <n v="-0.37832717500000002"/>
    <n v="-0.76580789500000002"/>
    <n v="0.10108352689561931"/>
    <n v="-1.1441350699999999"/>
    <n v="0.24156196599999999"/>
    <n v="-1.0430515431043805"/>
    <n v="0.260561625910324"/>
    <n v="-0.44742539599999998"/>
    <n v="-0.95194763900000001"/>
    <n v="0.31611013044056913"/>
    <n v="-1.399373035"/>
    <n v="0.19791561999999999"/>
    <n v="-1.0832629045594309"/>
    <n v="0.25288903904075399"/>
    <n v="-0.41287628599999998"/>
    <n v="0.21973879299999999"/>
    <n v="-1.2717540525"/>
    <n v="-1.0631572238319058"/>
    <n v="0.25672533247553897"/>
    <x v="0"/>
    <n v="0.99996515200000002"/>
    <n v="1.81E-18"/>
    <n v="3.4799999999999999E-5"/>
    <n v="4.3499999999999999E-8"/>
  </r>
  <r>
    <x v="0"/>
    <s v="Diatraea_SAM_14"/>
    <x v="74"/>
    <n v="0.25365269600000001"/>
    <n v="-0.76580789500000002"/>
    <n v="0.10108352689561931"/>
    <n v="-0.51215519899999995"/>
    <n v="0.37468843299999999"/>
    <n v="-0.41107167210438067"/>
    <n v="0.39865518214434442"/>
    <n v="0.36965118800000002"/>
    <n v="-0.95194763900000001"/>
    <n v="0.31611013044056913"/>
    <n v="-0.58229645100000005"/>
    <n v="0.35840435199999998"/>
    <n v="-0.26618632055943081"/>
    <n v="0.43384358626300595"/>
    <n v="0.31165194200000002"/>
    <n v="0.366546392"/>
    <n v="-0.54722582499999994"/>
    <n v="-0.33862899633190574"/>
    <n v="0.41624938420367519"/>
    <x v="0"/>
    <n v="2.8700000000000001E-15"/>
    <n v="5.4800000000000003E-35"/>
    <n v="2.1600000000000002E-21"/>
    <n v="1"/>
  </r>
  <r>
    <x v="0"/>
    <s v="Diatraea_SAM_15"/>
    <x v="75"/>
    <n v="0.33366632400000001"/>
    <n v="-0.76580789500000002"/>
    <n v="-4.9441097480157715E-2"/>
    <n v="-0.432141571"/>
    <n v="0.39361506000000002"/>
    <n v="-0.48158266848015774"/>
    <n v="0.38187847082667964"/>
    <n v="0.22030012700000001"/>
    <n v="-0.95194763900000001"/>
    <n v="0.143403965745907"/>
    <n v="-0.731647512"/>
    <n v="0.32483329599999999"/>
    <n v="-0.58824354625409303"/>
    <n v="0.35703796776191243"/>
    <n v="0.27698322600000003"/>
    <n v="0.35922417800000001"/>
    <n v="-0.58189454149999997"/>
    <n v="-0.53491310736712538"/>
    <n v="0.36945821929429601"/>
    <x v="0"/>
    <n v="2.7399999999999999E-13"/>
    <n v="3.8099999999999999E-32"/>
    <n v="6.3400000000000002E-18"/>
    <n v="1"/>
  </r>
  <r>
    <x v="0"/>
    <s v="Diatraea_SAM_15"/>
    <x v="76"/>
    <n v="0.18943051699999999"/>
    <n v="-0.76580789500000002"/>
    <n v="-4.9441097480157715E-2"/>
    <n v="-0.576377378"/>
    <n v="0.359766584"/>
    <n v="-0.62581847548015768"/>
    <n v="0.34845928937472154"/>
    <n v="6.4730274000000004E-2"/>
    <n v="-0.95194763900000001"/>
    <n v="0.143403965745907"/>
    <n v="-0.88721736500000004"/>
    <n v="0.29168439899999998"/>
    <n v="-0.74381339925409307"/>
    <n v="0.32217082180479861"/>
    <n v="0.12708039600000001"/>
    <n v="0.32572549200000001"/>
    <n v="-0.73179737150000002"/>
    <n v="-0.68481593736712543"/>
    <n v="0.33531505558976005"/>
    <x v="0"/>
    <n v="6.77E-15"/>
    <n v="7.3099999999999998E-35"/>
    <n v="6.7199999999999997E-19"/>
    <n v="1"/>
  </r>
  <r>
    <x v="0"/>
    <s v="Diatraea_SAM_15"/>
    <x v="77"/>
    <n v="-8.5931831E-2"/>
    <n v="-0.76580789500000002"/>
    <n v="-4.9441097480157715E-2"/>
    <n v="-0.85173972600000003"/>
    <n v="0.29906803799999998"/>
    <n v="-0.90118082348015771"/>
    <n v="0.28880789824511377"/>
    <n v="-9.8365980000000006E-2"/>
    <n v="-0.95194763900000001"/>
    <n v="0.143403965745907"/>
    <n v="-1.0503136200000001"/>
    <n v="0.25916488199999999"/>
    <n v="-0.90690965325409301"/>
    <n v="0.28763263380957299"/>
    <n v="-9.2148906000000003E-2"/>
    <n v="0.27911646000000001"/>
    <n v="-0.9510266730000001"/>
    <n v="-0.90404523836712536"/>
    <n v="0.28822026602734341"/>
    <x v="0"/>
    <n v="0.99982052499999996"/>
    <n v="1.76E-20"/>
    <n v="1.7931199999999999E-4"/>
    <n v="1.6299999999999999E-7"/>
  </r>
  <r>
    <x v="0"/>
    <s v="Diatraea_SAM_15"/>
    <x v="78"/>
    <n v="-0.139936058"/>
    <n v="-0.76580789500000002"/>
    <n v="-4.9441097480157715E-2"/>
    <n v="-0.90574395299999999"/>
    <n v="0.28787154500000001"/>
    <n v="-0.95518505048015767"/>
    <n v="0.27784326291454364"/>
    <n v="-0.200794062"/>
    <n v="-0.95194763900000001"/>
    <n v="0.143403965745907"/>
    <n v="-1.1527417010000001"/>
    <n v="0.23998865699999999"/>
    <n v="-1.0093377352540931"/>
    <n v="0.26710947703751764"/>
    <n v="-0.17036506000000001"/>
    <n v="0.26393010099999997"/>
    <n v="-1.029242827"/>
    <n v="-0.98226139286712533"/>
    <n v="0.27247636997603064"/>
    <x v="0"/>
    <n v="0.99560744199999995"/>
    <n v="6.2100000000000003E-21"/>
    <n v="4.3923850000000004E-3"/>
    <n v="1.73E-7"/>
  </r>
  <r>
    <x v="0"/>
    <s v="Diatraea_SAM_15"/>
    <x v="79"/>
    <n v="0.40851585699999998"/>
    <n v="-0.76580789500000002"/>
    <n v="-4.9441097480157715E-2"/>
    <n v="-0.35729203799999998"/>
    <n v="0.41161524500000002"/>
    <n v="-0.40673313548015777"/>
    <n v="0.39969571205603766"/>
    <n v="0.370261059"/>
    <n v="-0.95194763900000001"/>
    <n v="0.143403965745907"/>
    <n v="-0.58168657999999995"/>
    <n v="0.35854460399999999"/>
    <n v="-0.43828261425409298"/>
    <n v="0.39215026389504837"/>
    <n v="0.38938845799999999"/>
    <n v="0.38507992400000002"/>
    <n v="-0.46948930899999997"/>
    <n v="-0.42250787486712538"/>
    <n v="0.39592298797554304"/>
    <x v="0"/>
    <n v="1.1499999999999999E-13"/>
    <n v="3.4699999999999998E-35"/>
    <n v="9.8200000000000001E-18"/>
    <n v="1"/>
  </r>
  <r>
    <x v="0"/>
    <s v="Diatraea_SAM_15"/>
    <x v="80"/>
    <n v="-0.56240185300000001"/>
    <n v="-0.76580789500000002"/>
    <n v="-4.9441097480157715E-2"/>
    <n v="-1.3282097479999999"/>
    <n v="0.20945564799999999"/>
    <n v="-1.3776508454801577"/>
    <n v="0.20138654926798641"/>
    <n v="-0.49626416499999998"/>
    <n v="-0.95194763900000001"/>
    <n v="0.143403965745907"/>
    <n v="-1.4482118049999999"/>
    <n v="0.19027692399999999"/>
    <n v="-1.3048078382540931"/>
    <n v="0.21335697765545758"/>
    <n v="-0.52933300900000002"/>
    <n v="0.199866286"/>
    <n v="-1.3882107764999998"/>
    <n v="-1.3412293418671255"/>
    <n v="0.20737176346172198"/>
    <x v="0"/>
    <n v="0.99611185099999999"/>
    <n v="1.9099999999999999E-18"/>
    <n v="3.888149E-3"/>
    <n v="2.01E-11"/>
  </r>
  <r>
    <x v="0"/>
    <s v="Diatraea_SAM_15"/>
    <x v="81"/>
    <n v="-0.50880477499999999"/>
    <n v="-0.76580789500000002"/>
    <n v="-4.9441097480157715E-2"/>
    <n v="-1.2746126689999999"/>
    <n v="0.21846866200000001"/>
    <n v="-1.3240537674801578"/>
    <n v="0.21014464283433079"/>
    <n v="-0.74684594599999998"/>
    <n v="-0.95194763900000001"/>
    <n v="0.143403965745907"/>
    <n v="-1.698793585"/>
    <n v="0.15462289600000001"/>
    <n v="-1.555389619254093"/>
    <n v="0.17430920235377262"/>
    <n v="-0.62782536"/>
    <n v="0.18654577899999999"/>
    <n v="-1.486703127"/>
    <n v="-1.4397216933671255"/>
    <n v="0.19222692259405172"/>
    <x v="0"/>
    <n v="1.34E-18"/>
    <n v="2.8200000000000002E-40"/>
    <n v="8.5299999999999997E-25"/>
    <n v="1"/>
  </r>
  <r>
    <x v="0"/>
    <s v="Diatraea_SAM_15"/>
    <x v="82"/>
    <n v="0.172639773"/>
    <n v="-0.76580789500000002"/>
    <n v="-4.9441097480157715E-2"/>
    <n v="-0.59316812200000002"/>
    <n v="0.355908271"/>
    <n v="-0.6426092194801577"/>
    <n v="0.34465696016305186"/>
    <n v="0.15884458400000001"/>
    <n v="-0.95194763900000001"/>
    <n v="0.143403965745907"/>
    <n v="-0.793103055"/>
    <n v="0.31150277199999998"/>
    <n v="-0.64969908925409303"/>
    <n v="0.34305735007877203"/>
    <n v="0.16574217899999999"/>
    <n v="0.333705521"/>
    <n v="-0.69313558850000001"/>
    <n v="-0.64615415436712542"/>
    <n v="0.34385715512091197"/>
    <x v="0"/>
    <n v="9.4400000000000002E-27"/>
    <n v="1"/>
    <n v="1.06E-31"/>
    <n v="3.08E-25"/>
  </r>
  <r>
    <x v="0"/>
    <s v="Diatraea_SAM_15"/>
    <x v="83"/>
    <n v="9.0548575000000006E-2"/>
    <n v="-0.76580789500000002"/>
    <n v="-4.9441097480157715E-2"/>
    <n v="-0.67525932"/>
    <n v="0.33732019299999999"/>
    <n v="-0.72470041748015768"/>
    <n v="0.3263587599524358"/>
    <n v="0.25068571899999997"/>
    <n v="-0.95194763900000001"/>
    <n v="0.143403965745907"/>
    <n v="-0.70126192099999995"/>
    <n v="0.33153250299999998"/>
    <n v="-0.55785795425409312"/>
    <n v="0.36404323249031895"/>
    <n v="0.170617147"/>
    <n v="0.33442634799999998"/>
    <n v="-0.68826062049999992"/>
    <n v="-0.6412791858671254"/>
    <n v="0.34520099622137734"/>
    <x v="0"/>
    <n v="9.1899999999999999E-17"/>
    <n v="2.7099999999999999E-41"/>
    <n v="9.1699999999999997E-23"/>
    <n v="1"/>
  </r>
  <r>
    <x v="0"/>
    <s v="Diatraea_SAM_15"/>
    <x v="84"/>
    <n v="-0.68484883799999996"/>
    <n v="-0.76580789500000002"/>
    <n v="-4.9441097480157715E-2"/>
    <n v="-1.450656733"/>
    <n v="0.18990051499999999"/>
    <n v="-1.5000978304801578"/>
    <n v="0.1824109331906561"/>
    <n v="-0.74684594599999998"/>
    <n v="-0.95194763900000001"/>
    <n v="0.143403965745907"/>
    <n v="-1.698793585"/>
    <n v="0.15462289600000001"/>
    <n v="-1.555389619254093"/>
    <n v="0.17430920235377262"/>
    <n v="-0.71584739200000003"/>
    <n v="0.17226170499999999"/>
    <n v="-1.574725159"/>
    <n v="-1.5277437248671255"/>
    <n v="0.17836006777221436"/>
    <x v="0"/>
    <n v="1.76E-12"/>
    <n v="2.5899999999999999E-29"/>
    <n v="2.1099999999999999E-18"/>
    <n v="1"/>
  </r>
  <r>
    <x v="0"/>
    <s v="Diatraea_SAM_15"/>
    <x v="85"/>
    <n v="-0.139123673"/>
    <n v="-0.76580789500000002"/>
    <n v="-4.9441097480157715E-2"/>
    <n v="-0.90493156799999996"/>
    <n v="0.28803811400000001"/>
    <n v="-0.95437266548015776"/>
    <n v="0.27800629444178776"/>
    <n v="-3.2085194999999997E-2"/>
    <n v="-0.95194763900000001"/>
    <n v="0.143403965745907"/>
    <n v="-0.98403283399999997"/>
    <n v="0.27209231499999997"/>
    <n v="-0.840628868254093"/>
    <n v="0.30140235360746592"/>
    <n v="-8.5604433999999993E-2"/>
    <n v="0.28006521400000001"/>
    <n v="-0.94448220100000002"/>
    <n v="-0.89750076686712532"/>
    <n v="0.28970432402462687"/>
    <x v="0"/>
    <n v="5.6400000000000002E-12"/>
    <n v="9.9900000000000006E-31"/>
    <n v="4.67E-17"/>
    <n v="1"/>
  </r>
  <r>
    <x v="0"/>
    <s v="Diatraea_SAM_15"/>
    <x v="86"/>
    <n v="0.15296684599999999"/>
    <n v="-0.76580789500000002"/>
    <n v="-4.9441097480157715E-2"/>
    <n v="-0.61284104900000003"/>
    <n v="0.35141138900000002"/>
    <n v="-0.66228214648015771"/>
    <n v="0.34022714547930122"/>
    <n v="0.18969113100000001"/>
    <n v="-0.95194763900000001"/>
    <n v="0.143403965745907"/>
    <n v="-0.76225650899999997"/>
    <n v="0.31815655399999998"/>
    <n v="-0.61885254225409303"/>
    <n v="0.35004246773857972"/>
    <n v="0.17132898799999999"/>
    <n v="0.33478397199999999"/>
    <n v="-0.687548779"/>
    <n v="-0.64056734436712537"/>
    <n v="0.34513480660894047"/>
    <x v="0"/>
    <n v="5.9499999999999999E-18"/>
    <n v="1.02E-40"/>
    <n v="3.4000000000000001E-23"/>
    <n v="1"/>
  </r>
  <r>
    <x v="0"/>
    <s v="Diatraea_SAM_15"/>
    <x v="57"/>
    <n v="0.28687832200000002"/>
    <n v="-0.76580789500000002"/>
    <n v="-4.9441097480157715E-2"/>
    <n v="-0.478929573"/>
    <n v="0.382504923"/>
    <n v="-0.52837067048015773"/>
    <n v="0.37089698338028693"/>
    <n v="0.42904441500000001"/>
    <n v="-0.95194763900000001"/>
    <n v="0.143403965745907"/>
    <n v="-0.52290322499999997"/>
    <n v="0.37217361399999999"/>
    <n v="-0.37949925825409303"/>
    <n v="0.40624767556103575"/>
    <n v="0.357961368"/>
    <n v="0.37733926800000001"/>
    <n v="-0.50091639899999996"/>
    <n v="-0.45393496436712538"/>
    <n v="0.38857232947066134"/>
    <x v="0"/>
    <n v="3.12E-12"/>
    <n v="3.0899999999999999E-35"/>
    <n v="4.0300000000000003E-17"/>
    <n v="1"/>
  </r>
  <r>
    <x v="0"/>
    <s v="Diatraea_SAM_15"/>
    <x v="2"/>
    <n v="8.2637797999999998E-2"/>
    <n v="-0.76580789500000002"/>
    <n v="-4.9441097480157715E-2"/>
    <n v="-0.68317009699999998"/>
    <n v="0.33555413699999997"/>
    <n v="-0.73261119448015766"/>
    <n v="0.32462198051878594"/>
    <n v="0.25068571899999997"/>
    <n v="-0.95194763900000001"/>
    <n v="0.143403965745907"/>
    <n v="-0.70126192099999995"/>
    <n v="0.33153250299999998"/>
    <n v="-0.55785795425409312"/>
    <n v="0.36404323249031895"/>
    <n v="0.16666175799999999"/>
    <n v="0.33354331999999998"/>
    <n v="-0.69221600900000002"/>
    <n v="-0.64523457436712539"/>
    <n v="0.34433260650455244"/>
    <x v="1"/>
    <n v="2E-14"/>
    <n v="2.4500000000000002E-35"/>
    <n v="1.3600000000000001E-12"/>
    <n v="1"/>
  </r>
  <r>
    <x v="0"/>
    <s v="Diatraea_SAM_15"/>
    <x v="3"/>
    <n v="0.29521445299999999"/>
    <n v="-0.76580789500000002"/>
    <n v="-4.9441097480157715E-2"/>
    <n v="-0.470593441"/>
    <n v="0.38447579399999998"/>
    <n v="-0.52003453948015776"/>
    <n v="0.37284415723662206"/>
    <n v="0.28086157499999997"/>
    <n v="-0.95194763900000001"/>
    <n v="0.143403965745907"/>
    <n v="-0.67108606400000004"/>
    <n v="0.33825369599999999"/>
    <n v="-0.52768209825409307"/>
    <n v="0.37105766387563632"/>
    <n v="0.28803801400000001"/>
    <n v="0.36136474499999999"/>
    <n v="-0.57083975249999996"/>
    <n v="-0.52385831886712542"/>
    <n v="0.37195091055612917"/>
    <x v="1"/>
    <n v="1.2099999999999999E-16"/>
    <n v="7.3199999999999999E-41"/>
    <n v="4.96E-19"/>
    <n v="1"/>
  </r>
  <r>
    <x v="0"/>
    <s v="Diatraea_SAM_15"/>
    <x v="87"/>
    <n v="0.14836291400000001"/>
    <n v="-0.76580789500000002"/>
    <n v="-4.9441097480157715E-2"/>
    <n v="-0.61744498000000003"/>
    <n v="0.35036277399999999"/>
    <n v="-0.66688607848015768"/>
    <n v="0.33919445018966077"/>
    <n v="0.18969113100000001"/>
    <n v="-0.95194763900000001"/>
    <n v="0.143403965745907"/>
    <n v="-0.76225650899999997"/>
    <n v="0.31815655399999998"/>
    <n v="-0.61885254225409303"/>
    <n v="0.35004246773857972"/>
    <n v="0.169027022"/>
    <n v="0.33425966400000001"/>
    <n v="-0.68985074449999995"/>
    <n v="-0.64286931036712536"/>
    <n v="0.34461845896412024"/>
    <x v="0"/>
    <n v="3.33E-17"/>
    <n v="3.3200000000000002E-40"/>
    <n v="3.08E-15"/>
    <n v="1"/>
  </r>
  <r>
    <x v="0"/>
    <s v="Diatraea_SAM_15b"/>
    <x v="47"/>
    <n v="-4.0800045E-2"/>
    <n v="-0.76580789500000002"/>
    <n v="-0.10826025021424537"/>
    <n v="-0.80660794000000002"/>
    <n v="0.308613794"/>
    <n v="-0.91486819021424537"/>
    <n v="0.28600468881346486"/>
    <n v="8.4092648000000006E-2"/>
    <n v="-0.95194763900000001"/>
    <n v="4.2640450553629666E-2"/>
    <n v="-0.86785499099999996"/>
    <n v="0.29570083000000003"/>
    <n v="-0.82521454044637033"/>
    <n v="0.30465788018725642"/>
    <n v="2.1646301999999999E-2"/>
    <n v="0.30215731200000001"/>
    <n v="-0.83723146549999994"/>
    <n v="-0.87004136533030785"/>
    <n v="0.29533128450036061"/>
    <x v="1"/>
    <n v="2.2199999999999999E-14"/>
    <n v="1.05E-31"/>
    <n v="3.5900000000000002E-18"/>
    <n v="1"/>
  </r>
  <r>
    <x v="0"/>
    <s v="Diatraea_SAM_15b"/>
    <x v="48"/>
    <n v="-0.45616843400000001"/>
    <n v="-0.76580789500000002"/>
    <n v="-0.10826025021424537"/>
    <n v="-1.2219763290000001"/>
    <n v="0.22758883999999999"/>
    <n v="-1.3302365792142454"/>
    <n v="0.20912023492971274"/>
    <n v="-0.76168969099999995"/>
    <n v="-0.95194763900000001"/>
    <n v="4.2640450553629666E-2"/>
    <n v="-1.7136373309999999"/>
    <n v="0.15269253199999999"/>
    <n v="-1.6709968794463703"/>
    <n v="0.15829131419009243"/>
    <n v="-0.60892906300000005"/>
    <n v="0.190140686"/>
    <n v="-1.46780683"/>
    <n v="-1.5006167293303079"/>
    <n v="0.18370577455990258"/>
    <x v="1"/>
    <n v="0.99934531800000004"/>
    <n v="2.3400000000000001E-8"/>
    <n v="6.5465900000000004E-4"/>
    <n v="6.87E-13"/>
  </r>
  <r>
    <x v="0"/>
    <s v="Diatraea_SAM_15b"/>
    <x v="49"/>
    <n v="-0.209545546"/>
    <n v="-0.76580789500000002"/>
    <n v="-0.10826025021424537"/>
    <n v="-0.97535344099999999"/>
    <n v="0.27381473499999998"/>
    <n v="-1.0836136912142453"/>
    <n v="0.25282276849788715"/>
    <n v="-0.225876407"/>
    <n v="-0.95194763900000001"/>
    <n v="4.2640450553629666E-2"/>
    <n v="-1.177824046"/>
    <n v="0.235443664"/>
    <n v="-1.1351835954463703"/>
    <n v="0.24320575581208484"/>
    <n v="-0.217710976"/>
    <n v="0.25462919899999997"/>
    <n v="-1.0765887434999999"/>
    <n v="-1.1093986433303078"/>
    <n v="0.24801426215498601"/>
    <x v="1"/>
    <n v="4.4799999999999998E-16"/>
    <n v="2.7000000000000001E-36"/>
    <n v="1.24E-19"/>
    <n v="1"/>
  </r>
  <r>
    <x v="0"/>
    <s v="Diatraea_SAM_15b"/>
    <x v="50"/>
    <n v="0.18204164"/>
    <n v="-0.76580789500000002"/>
    <n v="-0.10826025021424537"/>
    <n v="-0.58376625500000001"/>
    <n v="0.35806643999999999"/>
    <n v="-0.69202650521424536"/>
    <n v="0.33358241879696499"/>
    <n v="0.30491579099999999"/>
    <n v="-0.95194763900000001"/>
    <n v="4.2640450553629666E-2"/>
    <n v="-0.64703184800000002"/>
    <n v="0.343658715"/>
    <n v="-0.60439139744637038"/>
    <n v="0.35333965507643672"/>
    <n v="0.24347871600000001"/>
    <n v="0.35086257700000001"/>
    <n v="-0.61539905150000007"/>
    <n v="-0.64820895133030787"/>
    <n v="0.34346103693670083"/>
    <x v="1"/>
    <n v="1.5E-11"/>
    <n v="2.1500000000000002E-33"/>
    <n v="1.4300000000000001E-16"/>
    <n v="1"/>
  </r>
  <r>
    <x v="0"/>
    <s v="Diatraea_SAM_15b"/>
    <x v="51"/>
    <n v="-1.2639034E-2"/>
    <n v="-0.76580789500000002"/>
    <n v="-0.10826025021424537"/>
    <n v="-0.77844692900000001"/>
    <n v="0.31465470499999998"/>
    <n v="-0.88670717921424536"/>
    <n v="0.29178981716053642"/>
    <n v="-8.3673242999999994E-2"/>
    <n v="-0.95194763900000001"/>
    <n v="4.2640450553629666E-2"/>
    <n v="-1.0356208819999999"/>
    <n v="0.26199583100000001"/>
    <n v="-0.99298043144637027"/>
    <n v="0.27032378874281132"/>
    <n v="-4.8156138000000001E-2"/>
    <n v="0.28832526800000002"/>
    <n v="-0.90703390549999996"/>
    <n v="-0.93984380533030776"/>
    <n v="0.2810568029516739"/>
    <x v="1"/>
    <n v="7.8300000000000005E-14"/>
    <n v="5.2100000000000002E-31"/>
    <n v="1.3399999999999999E-19"/>
    <n v="1"/>
  </r>
  <r>
    <x v="0"/>
    <s v="Diatraea_SAM_15b"/>
    <x v="52"/>
    <n v="0.31444529799999998"/>
    <n v="-0.76580789500000002"/>
    <n v="-0.10826025021424537"/>
    <n v="-0.451362596"/>
    <n v="0.38903684500000002"/>
    <n v="-0.55962284721424538"/>
    <n v="0.36363473008581187"/>
    <n v="0.39578432200000002"/>
    <n v="-0.95194763900000001"/>
    <n v="4.2640450553629666E-2"/>
    <n v="-0.55616331699999999"/>
    <n v="0.364435658"/>
    <n v="-0.51352286644637035"/>
    <n v="0.37436804719617284"/>
    <n v="0.35511481"/>
    <n v="0.37673625199999999"/>
    <n v="-0.50376295650000003"/>
    <n v="-0.53657285683030786"/>
    <n v="0.36900138864099236"/>
    <x v="1"/>
    <n v="5.34E-15"/>
    <n v="6.2200000000000004E-36"/>
    <n v="2.93E-21"/>
    <n v="1"/>
  </r>
  <r>
    <x v="0"/>
    <s v="Diatraea_SAM_15b"/>
    <x v="21"/>
    <n v="8.1003698999999998E-2"/>
    <n v="-0.76580789500000002"/>
    <n v="-0.10826025021424537"/>
    <n v="-0.68480419599999998"/>
    <n v="0.33518990100000001"/>
    <n v="-0.79306444621424532"/>
    <n v="0.31151105242983151"/>
    <n v="-1.537296E-2"/>
    <n v="-0.95194763900000001"/>
    <n v="4.2640450553629666E-2"/>
    <n v="-0.96732059999999997"/>
    <n v="0.27541488600000003"/>
    <n v="-0.92468014844637036"/>
    <n v="0.28400524230930629"/>
    <n v="3.2815368999999997E-2"/>
    <n v="0.30530239300000001"/>
    <n v="-0.82606239799999992"/>
    <n v="-0.85887229733030779"/>
    <n v="0.2977581473695689"/>
    <x v="1"/>
    <n v="1.7000000000000001E-13"/>
    <n v="3.0599999999999997E-36"/>
    <n v="6.5100000000000004E-19"/>
    <n v="1"/>
  </r>
  <r>
    <x v="0"/>
    <s v="Diatraea_SAM_15b"/>
    <x v="22"/>
    <n v="1.3723266E-2"/>
    <n v="-0.76580789500000002"/>
    <n v="-0.10826025021424537"/>
    <n v="-0.75208462799999998"/>
    <n v="0.32036724100000002"/>
    <n v="-0.86034487921424541"/>
    <n v="0.29726729554000203"/>
    <n v="0.45538890999999998"/>
    <n v="-0.95194763900000001"/>
    <n v="4.2640450553629666E-2"/>
    <n v="-0.49655873"/>
    <n v="0.37834972"/>
    <n v="-0.45391827844637034"/>
    <n v="0.38842956512398624"/>
    <n v="0.234556088"/>
    <n v="0.34935848000000003"/>
    <n v="-0.62432167900000002"/>
    <n v="-0.65713157883030782"/>
    <n v="0.34284843033199414"/>
    <x v="1"/>
    <n v="2.3100000000000001E-14"/>
    <n v="6.4800000000000001E-40"/>
    <n v="9.5200000000000002E-19"/>
    <n v="1"/>
  </r>
  <r>
    <x v="0"/>
    <s v="Diatraea_SAM_15b"/>
    <x v="88"/>
    <n v="0.25948368900000002"/>
    <n v="-0.76580789500000002"/>
    <n v="-0.10826025021424537"/>
    <n v="-0.50632420600000005"/>
    <n v="0.37605561199999998"/>
    <n v="-0.61458445621424529"/>
    <n v="0.3510141321026512"/>
    <n v="1.8159198000000001E-2"/>
    <n v="-0.95194763900000001"/>
    <n v="4.2640450553629666E-2"/>
    <n v="-0.933788442"/>
    <n v="0.28215675400000001"/>
    <n v="-0.89114799044637039"/>
    <n v="0.29087297932814565"/>
    <n v="0.13882144299999999"/>
    <n v="0.329106183"/>
    <n v="-0.72005632399999997"/>
    <n v="-0.75286622333030784"/>
    <n v="0.32094355571539845"/>
    <x v="0"/>
    <n v="1.0499999999999999E-15"/>
    <n v="2.1400000000000001E-36"/>
    <n v="5.9600000000000004E-19"/>
    <n v="1"/>
  </r>
  <r>
    <x v="0"/>
    <s v="Diatraea_SAM_15b"/>
    <x v="27"/>
    <n v="-0.54832568000000004"/>
    <n v="-0.76580789500000002"/>
    <n v="-0.10826025021424537"/>
    <n v="-1.3141335750000001"/>
    <n v="0.21179597"/>
    <n v="-1.4223938252142454"/>
    <n v="0.19428658159774559"/>
    <n v="-0.809368121"/>
    <n v="-0.95194763900000001"/>
    <n v="4.2640450553629666E-2"/>
    <n v="-1.76131576"/>
    <n v="0.14662562700000001"/>
    <n v="-1.7186753094463703"/>
    <n v="0.15204187086202448"/>
    <n v="-0.678846901"/>
    <n v="0.179210798"/>
    <n v="-1.5377246675"/>
    <n v="-1.5705345673303079"/>
    <n v="0.17316422622988503"/>
    <x v="1"/>
    <n v="1.64E-44"/>
    <n v="1"/>
    <n v="1.06E-47"/>
    <n v="1.25E-71"/>
  </r>
  <r>
    <x v="0"/>
    <s v="Diatraea_SAM_15b"/>
    <x v="2"/>
    <n v="0.20479079"/>
    <n v="-0.76580789500000002"/>
    <n v="-0.10826025021424537"/>
    <n v="-0.56101710500000002"/>
    <n v="0.363312154"/>
    <n v="-0.66927735521424536"/>
    <n v="0.33865867193428767"/>
    <n v="0.42567549599999999"/>
    <n v="-0.95194763900000001"/>
    <n v="4.2640450553629666E-2"/>
    <n v="-0.526272144"/>
    <n v="0.37138676999999998"/>
    <n v="-0.48363169244637039"/>
    <n v="0.38139492144741222"/>
    <n v="0.31523314299999999"/>
    <n v="0.36734946200000002"/>
    <n v="-0.54364462449999995"/>
    <n v="-0.57645452383030782"/>
    <n v="0.36002679669084992"/>
    <x v="1"/>
    <n v="2E-14"/>
    <n v="2.4500000000000002E-35"/>
    <n v="1.3600000000000001E-12"/>
    <n v="1"/>
  </r>
  <r>
    <x v="0"/>
    <s v="Diatraea_SAM_15b"/>
    <x v="3"/>
    <n v="0.22765785899999999"/>
    <n v="-0.76580789500000002"/>
    <n v="-0.10826025021424537"/>
    <n v="-0.53815003500000003"/>
    <n v="0.36861803599999998"/>
    <n v="-0.64641028621424534"/>
    <n v="0.34379892644509447"/>
    <n v="0.65939932400000001"/>
    <n v="-0.95194763900000001"/>
    <n v="4.2640450553629666E-2"/>
    <n v="-0.292548315"/>
    <n v="0.42738011199999998"/>
    <n v="-0.24990786444637034"/>
    <n v="0.43784617694407973"/>
    <n v="0.443528592"/>
    <n v="0.39799907400000001"/>
    <n v="-0.41534917500000001"/>
    <n v="-0.44815907533030785"/>
    <n v="0.39082255169458713"/>
    <x v="1"/>
    <n v="1.2099999999999999E-16"/>
    <n v="7.3199999999999999E-41"/>
    <n v="4.96E-19"/>
    <n v="1"/>
  </r>
  <r>
    <x v="0"/>
    <s v="Diatraea_SAM_15b"/>
    <x v="30"/>
    <n v="3.5038486000000001E-2"/>
    <n v="-0.76580789500000002"/>
    <n v="-0.10826025021424537"/>
    <n v="-0.73076940899999998"/>
    <n v="0.325025909"/>
    <n v="-0.83902965921424533"/>
    <n v="0.30173918833009788"/>
    <n v="-0.225876407"/>
    <n v="-0.95194763900000001"/>
    <n v="4.2640450553629666E-2"/>
    <n v="-1.177824046"/>
    <n v="0.235443664"/>
    <n v="-1.1351835954463703"/>
    <n v="0.24320575581208484"/>
    <n v="-9.5418959999999997E-2"/>
    <n v="0.28023478600000001"/>
    <n v="-0.95429672750000005"/>
    <n v="-0.98710662733030774"/>
    <n v="0.27247247207109138"/>
    <x v="1"/>
    <n v="1.5299999999999999E-14"/>
    <n v="1.2099999999999999E-37"/>
    <n v="1.1099999999999999E-17"/>
    <n v="1"/>
  </r>
  <r>
    <x v="0"/>
    <s v="Diatraea_SAM_15b"/>
    <x v="31"/>
    <n v="-0.14179114700000001"/>
    <n v="-0.76580789500000002"/>
    <n v="-0.10826025021424537"/>
    <n v="-0.907599041"/>
    <n v="0.28749139899999998"/>
    <n v="-1.0158592922142453"/>
    <n v="0.26583474456859008"/>
    <n v="-1.537296E-2"/>
    <n v="-0.95194763900000001"/>
    <n v="4.2640450553629666E-2"/>
    <n v="-0.96732059999999997"/>
    <n v="0.27541488600000003"/>
    <n v="-0.92468014844637036"/>
    <n v="0.28400524230930629"/>
    <n v="-7.8582052999999999E-2"/>
    <n v="0.28145314199999999"/>
    <n v="-0.93745982049999999"/>
    <n v="-0.97026972033030789"/>
    <n v="0.27491999343894818"/>
    <x v="1"/>
    <n v="6.4500000000000003E-16"/>
    <n v="5.1699999999999997E-39"/>
    <n v="1.51E-21"/>
    <n v="1"/>
  </r>
  <r>
    <x v="0"/>
    <s v="Diatraea_SAM_15b"/>
    <x v="89"/>
    <n v="0.13126332299999999"/>
    <n v="-0.76580789500000002"/>
    <n v="-0.10826025021424537"/>
    <n v="-0.63454457099999995"/>
    <n v="0.34648078500000001"/>
    <n v="-0.74280482221424537"/>
    <n v="0.32239111110574137"/>
    <n v="-0.118486593"/>
    <n v="-0.95194763900000001"/>
    <n v="4.2640450553629666E-2"/>
    <n v="-1.070434232"/>
    <n v="0.255320514"/>
    <n v="-1.0277937814463702"/>
    <n v="0.26351204915940818"/>
    <n v="6.388365E-3"/>
    <n v="0.30090064999999999"/>
    <n v="-0.85248940149999997"/>
    <n v="-0.88529930183030781"/>
    <n v="0.29295158013257477"/>
    <x v="0"/>
    <n v="8.3999999999999992E-15"/>
    <n v="6.2099999999999999E-38"/>
    <n v="1.74E-19"/>
    <n v="1"/>
  </r>
  <r>
    <x v="0"/>
    <s v="Diatraea_SAM_16"/>
    <x v="90"/>
    <n v="-2.4502823E-2"/>
    <n v="-0.76580789500000002"/>
    <n v="-0.4387057682465787"/>
    <n v="-0.79031071799999997"/>
    <n v="0.31210195600000001"/>
    <n v="-1.2290164862465787"/>
    <n v="0.22635360999628279"/>
    <n v="0.17340689500000001"/>
    <n v="-0.95194763900000001"/>
    <n v="-0.76684157506166817"/>
    <n v="-0.77854074399999995"/>
    <n v="0.314634474"/>
    <n v="-1.5453823190616682"/>
    <n v="0.17575420570024555"/>
    <n v="7.4452035999999999E-2"/>
    <n v="0.31336821500000001"/>
    <n v="-0.78442573100000001"/>
    <n v="-1.3871994026541234"/>
    <n v="0.20105390784826416"/>
    <x v="0"/>
    <n v="7.0300000000000003E-13"/>
    <n v="1"/>
    <n v="7.2499999999999995E-17"/>
    <n v="5.4099999999999996E-26"/>
  </r>
  <r>
    <x v="0"/>
    <s v="Diatraea_SAM_16"/>
    <x v="91"/>
    <n v="0.17783332499999999"/>
    <n v="-0.76580789500000002"/>
    <n v="-0.4387057682465787"/>
    <n v="-0.587974569"/>
    <n v="0.35709971699999998"/>
    <n v="-1.0266803382465788"/>
    <n v="0.26372819581409701"/>
    <n v="0.21712136900000001"/>
    <n v="-0.95194763900000001"/>
    <n v="-0.76684157506166817"/>
    <n v="-0.73482627"/>
    <n v="0.32413652999999998"/>
    <n v="-1.5016678450616681"/>
    <n v="0.18217690237651324"/>
    <n v="0.197477347"/>
    <n v="0.34061812400000002"/>
    <n v="-0.66140041950000006"/>
    <n v="-1.2641740916541235"/>
    <n v="0.22295254909530512"/>
    <x v="0"/>
    <n v="2.3199999999999998E-15"/>
    <n v="7.9400000000000006E-33"/>
    <n v="5.5099999999999997E-21"/>
    <n v="1"/>
  </r>
  <r>
    <x v="0"/>
    <s v="Diatraea_SAM_16"/>
    <x v="92"/>
    <n v="9.2759626999999997E-2"/>
    <n v="-0.76580789500000002"/>
    <n v="-0.4387057682465787"/>
    <n v="-0.67304826699999998"/>
    <n v="0.33781461899999998"/>
    <n v="-1.1117540362465788"/>
    <n v="0.2475440266211682"/>
    <n v="0.12871919600000001"/>
    <n v="-0.95194763900000001"/>
    <n v="-0.76684157506166817"/>
    <n v="-0.82322844399999995"/>
    <n v="0.30507878100000002"/>
    <n v="-1.590070018061668"/>
    <n v="0.16937404611144274"/>
    <n v="0.110739411"/>
    <n v="0.32144669999999997"/>
    <n v="-0.74813835549999996"/>
    <n v="-1.3509120271541235"/>
    <n v="0.20845903636630547"/>
    <x v="1"/>
    <n v="3.6600000000000002E-12"/>
    <n v="4.02E-35"/>
    <n v="4.4700000000000001E-18"/>
    <n v="1"/>
  </r>
  <r>
    <x v="0"/>
    <s v="Diatraea_SAM_16"/>
    <x v="93"/>
    <n v="-0.51657366100000002"/>
    <n v="-0.76580789500000002"/>
    <n v="-0.4387057682465787"/>
    <n v="-1.282381556"/>
    <n v="0.21714510300000001"/>
    <n v="-1.7210873242465787"/>
    <n v="0.15173116243739329"/>
    <n v="-0.78162368299999996"/>
    <n v="-0.95194763900000001"/>
    <n v="-0.76684157506166817"/>
    <n v="-1.733571322"/>
    <n v="0.150131338"/>
    <n v="-2.5004128970616684"/>
    <n v="7.5829239471350313E-2"/>
    <n v="-0.64909867200000004"/>
    <n v="0.18363822099999999"/>
    <n v="-1.5079764390000001"/>
    <n v="-2.1107501106541235"/>
    <n v="0.1137802009543718"/>
    <x v="0"/>
    <n v="0.99899626799999997"/>
    <n v="2.36E-13"/>
    <n v="1.003732E-3"/>
    <n v="9.5800000000000006E-14"/>
  </r>
  <r>
    <x v="0"/>
    <s v="Diatraea_SAM_16"/>
    <x v="37"/>
    <n v="0.59247576599999996"/>
    <n v="-0.76580789500000002"/>
    <n v="-0.4387057682465787"/>
    <n v="-0.173332129"/>
    <n v="0.45677513400000003"/>
    <n v="-0.61203789724657875"/>
    <n v="0.35159446627883068"/>
    <n v="0.785811763"/>
    <n v="-0.95194763900000001"/>
    <n v="-0.76684157506166817"/>
    <n v="-0.16613587699999999"/>
    <n v="0.45856130000000001"/>
    <n v="-0.93297745106166818"/>
    <n v="0.28232104485288584"/>
    <n v="0.68914376399999999"/>
    <n v="0.45766821699999999"/>
    <n v="-0.16973400299999999"/>
    <n v="-0.77250767415412347"/>
    <n v="0.31695775556585826"/>
    <x v="0"/>
    <n v="3.04E-11"/>
    <n v="1.0000000000000001E-32"/>
    <n v="6.7800000000000004E-13"/>
    <n v="1"/>
  </r>
  <r>
    <x v="0"/>
    <s v="Diatraea_SAM_16"/>
    <x v="94"/>
    <n v="-1.8320573E-2"/>
    <n v="-0.76580789500000002"/>
    <n v="-0.4387057682465787"/>
    <n v="-0.78412846700000005"/>
    <n v="0.31343079000000001"/>
    <n v="-1.2228342362465787"/>
    <n v="0.22743806227658836"/>
    <n v="-0.163373885"/>
    <n v="-0.95194763900000001"/>
    <n v="-0.76684157506166817"/>
    <n v="-1.1153215240000001"/>
    <n v="0.24688012400000001"/>
    <n v="-1.8821630990616682"/>
    <n v="0.13214061303690894"/>
    <n v="-9.0847229000000002E-2"/>
    <n v="0.280155457"/>
    <n v="-0.9497249955"/>
    <n v="-1.5524986676541235"/>
    <n v="0.17978933765674865"/>
    <x v="1"/>
    <n v="2.8999999999999998E-13"/>
    <n v="9.1699999999999994E-36"/>
    <n v="9.68E-20"/>
    <n v="1"/>
  </r>
  <r>
    <x v="0"/>
    <s v="Diatraea_SAM_16"/>
    <x v="95"/>
    <n v="0.1443101"/>
    <n v="-0.76580789500000002"/>
    <n v="-0.4387057682465787"/>
    <n v="-0.62149779500000002"/>
    <n v="0.34944087800000001"/>
    <n v="-1.0602035632465787"/>
    <n v="0.25727055541829003"/>
    <n v="-6.0978222999999998E-2"/>
    <n v="-0.95194763900000001"/>
    <n v="-0.76684157506166817"/>
    <n v="-1.0129258619999999"/>
    <n v="0.26640764500000003"/>
    <n v="-1.7797674370616681"/>
    <n v="0.14433185327715692"/>
    <n v="4.1665938E-2"/>
    <n v="0.307924262"/>
    <n v="-0.81721182849999996"/>
    <n v="-1.4199855001541235"/>
    <n v="0.20080120434772347"/>
    <x v="0"/>
    <n v="3.9700000000000003E-17"/>
    <n v="6.0799999999999995E-42"/>
    <n v="2.3499999999999998E-18"/>
    <n v="1"/>
  </r>
  <r>
    <x v="0"/>
    <s v="Diatraea_SAM_16"/>
    <x v="96"/>
    <n v="-4.6738020000000003E-3"/>
    <n v="-0.76580789500000002"/>
    <n v="-0.4387057682465787"/>
    <n v="-0.77048169700000002"/>
    <n v="0.31637491499999998"/>
    <n v="-1.2091874652465786"/>
    <n v="0.22984485119065268"/>
    <n v="0.17340689500000001"/>
    <n v="-0.95194763900000001"/>
    <n v="-0.76684157506166817"/>
    <n v="-0.77854074399999995"/>
    <n v="0.314634474"/>
    <n v="-1.5453823190616682"/>
    <n v="0.17575420570024555"/>
    <n v="8.4366546000000001E-2"/>
    <n v="0.31550469399999997"/>
    <n v="-0.77451122049999999"/>
    <n v="-1.3772848921541234"/>
    <n v="0.20279952844544913"/>
    <x v="1"/>
    <n v="0.99982560099999995"/>
    <n v="4.3099999999999999E-24"/>
    <n v="1.1740500000000001E-4"/>
    <n v="5.7000000000000003E-5"/>
  </r>
  <r>
    <x v="0"/>
    <s v="Diatraea_SAM_16"/>
    <x v="97"/>
    <n v="-0.78503519899999996"/>
    <n v="-0.76580789500000002"/>
    <n v="-0.4387057682465787"/>
    <n v="-1.5508430929999999"/>
    <n v="0.17496453300000001"/>
    <n v="-1.9895488622465787"/>
    <n v="0.12030459883103325"/>
    <n v="-0.93395049799999996"/>
    <n v="-0.95194763900000001"/>
    <n v="-0.76684157506166817"/>
    <n v="-1.8858981370000001"/>
    <n v="0.13171286900000001"/>
    <n v="-2.6527397120616678"/>
    <n v="6.5820349470669268E-2"/>
    <n v="-0.85949284800000003"/>
    <n v="0.15333870099999999"/>
    <n v="-1.718370615"/>
    <n v="-2.321144287154123"/>
    <n v="9.3062474150851254E-2"/>
    <x v="0"/>
    <n v="1.7500000000000001E-13"/>
    <n v="3.3E-35"/>
    <n v="1.41E-18"/>
    <n v="1"/>
  </r>
  <r>
    <x v="0"/>
    <s v="Diatraea_SAM_16"/>
    <x v="98"/>
    <n v="-0.239650275"/>
    <n v="-0.76580789500000002"/>
    <n v="-0.4387057682465787"/>
    <n v="-1.00545817"/>
    <n v="0.26786963400000002"/>
    <n v="-1.4441639382465787"/>
    <n v="0.19090136692446452"/>
    <n v="-0.38667299599999999"/>
    <n v="-0.95194763900000001"/>
    <n v="-0.76684157506166817"/>
    <n v="-1.3386206350000001"/>
    <n v="0.20773698600000001"/>
    <n v="-2.1054622100616682"/>
    <n v="0.10856705577090378"/>
    <n v="-0.31316163499999999"/>
    <n v="0.23780330999999999"/>
    <n v="-1.1720394025"/>
    <n v="-1.7748130741541235"/>
    <n v="0.14973421134768417"/>
    <x v="0"/>
    <n v="4.9700000000000004E-10"/>
    <n v="1.28E-33"/>
    <n v="2.2699999999999998E-15"/>
    <n v="1"/>
  </r>
  <r>
    <x v="0"/>
    <s v="Diatraea_SAM_16"/>
    <x v="99"/>
    <n v="4.6054971E-2"/>
    <n v="-0.76580789500000002"/>
    <n v="-0.4387057682465787"/>
    <n v="-0.71975292400000002"/>
    <n v="0.32744739299999998"/>
    <n v="-1.1584586922465787"/>
    <n v="0.23894746160738378"/>
    <n v="-6.0978222999999998E-2"/>
    <n v="-0.95194763900000001"/>
    <n v="-0.76684157506166817"/>
    <n v="-1.0129258619999999"/>
    <n v="0.26640764500000003"/>
    <n v="-1.7797674370616681"/>
    <n v="0.14433185327715692"/>
    <n v="-7.4616259999999998E-3"/>
    <n v="0.29692751899999997"/>
    <n v="-0.86633939299999996"/>
    <n v="-1.4691130646541235"/>
    <n v="0.19163965744227035"/>
    <x v="1"/>
    <n v="3.6200000000000002E-16"/>
    <n v="9.8500000000000005E-39"/>
    <n v="6.8399999999999996E-21"/>
    <n v="1"/>
  </r>
  <r>
    <x v="0"/>
    <s v="Diatraea_SAM_16"/>
    <x v="100"/>
    <n v="0.22155432799999999"/>
    <n v="-0.76580789500000002"/>
    <n v="-0.4387057682465787"/>
    <n v="-0.54425356700000005"/>
    <n v="0.36719865000000002"/>
    <n v="-0.98295933524657875"/>
    <n v="0.2723049816722079"/>
    <n v="0.42286184300000002"/>
    <n v="-0.95194763900000001"/>
    <n v="-0.76684157506166817"/>
    <n v="-0.52908579700000002"/>
    <n v="0.37073013700000002"/>
    <n v="-1.2959273710616681"/>
    <n v="0.21485123161258543"/>
    <n v="0.32220808499999998"/>
    <n v="0.368964393"/>
    <n v="-0.53666968200000009"/>
    <n v="-1.1394433531541235"/>
    <n v="0.24357810664239665"/>
    <x v="1"/>
    <n v="5.7899999999999998E-14"/>
    <n v="7.4200000000000002E-34"/>
    <n v="1.9699999999999999E-19"/>
    <n v="1"/>
  </r>
  <r>
    <x v="0"/>
    <s v="Diatraea_SAM_16"/>
    <x v="2"/>
    <n v="0.31370184899999998"/>
    <n v="-0.76580789500000002"/>
    <n v="-0.4387057682465787"/>
    <n v="-0.45210604599999998"/>
    <n v="0.38886015200000001"/>
    <n v="-0.89081181424657874"/>
    <n v="0.29094232588558638"/>
    <n v="0.42286184300000002"/>
    <n v="-0.95194763900000001"/>
    <n v="-0.76684157506166817"/>
    <n v="-0.52908579700000002"/>
    <n v="0.37073013700000002"/>
    <n v="-1.2959273710616681"/>
    <n v="0.21485123161258543"/>
    <n v="0.36828184600000002"/>
    <n v="0.37979514399999997"/>
    <n v="-0.49059592149999998"/>
    <n v="-1.0933695926541234"/>
    <n v="0.25289677874908589"/>
    <x v="1"/>
    <n v="2E-14"/>
    <n v="2.4500000000000002E-35"/>
    <n v="1.3600000000000001E-12"/>
    <n v="1"/>
  </r>
  <r>
    <x v="0"/>
    <s v="Diatraea_SAM_16"/>
    <x v="3"/>
    <n v="0.54799959799999998"/>
    <n v="-0.76580789500000002"/>
    <n v="-0.4387057682465787"/>
    <n v="-0.21780829700000001"/>
    <n v="0.44576217899999998"/>
    <n v="-0.65651406524657874"/>
    <n v="0.34152311262033863"/>
    <n v="0.64696495300000001"/>
    <n v="-0.95194763900000001"/>
    <n v="-0.76684157506166817"/>
    <n v="-0.304982686"/>
    <n v="0.424339878"/>
    <n v="-1.0718242610616682"/>
    <n v="0.25505631498923176"/>
    <n v="0.59748227600000003"/>
    <n v="0.43505102800000001"/>
    <n v="-0.26139549150000002"/>
    <n v="-0.86416916315412351"/>
    <n v="0.29828971380478519"/>
    <x v="1"/>
    <n v="1.2099999999999999E-16"/>
    <n v="7.3199999999999999E-41"/>
    <n v="4.96E-19"/>
    <n v="1"/>
  </r>
  <r>
    <x v="0"/>
    <s v="Diatraea_SAM_16"/>
    <x v="101"/>
    <n v="-0.22151607100000001"/>
    <n v="-0.76580789500000002"/>
    <n v="-0.4387057682465787"/>
    <n v="-0.98732396600000005"/>
    <n v="0.271440968"/>
    <n v="-1.4260297342465789"/>
    <n v="0.19371805149562563"/>
    <n v="-0.111482424"/>
    <n v="-0.95194763900000001"/>
    <n v="-0.76684157506166817"/>
    <n v="-1.063430063"/>
    <n v="0.25665451099999997"/>
    <n v="-1.8302716380616681"/>
    <n v="0.13820591653026054"/>
    <n v="-0.16649924799999999"/>
    <n v="0.26404773999999998"/>
    <n v="-1.0253770145000001"/>
    <n v="-1.6281506861541235"/>
    <n v="0.1659619840129431"/>
    <x v="1"/>
    <n v="0.99634072399999996"/>
    <n v="1.5199999999999999E-24"/>
    <n v="2.7293439999999999E-3"/>
    <n v="9.2993100000000005E-4"/>
  </r>
  <r>
    <x v="0"/>
    <s v="Diatraea_SAM_16"/>
    <x v="102"/>
    <n v="-0.265237801"/>
    <n v="-0.76580789500000002"/>
    <n v="-0.4387057682465787"/>
    <n v="-1.0310456960000001"/>
    <n v="0.26288142399999997"/>
    <n v="-1.4697514642465788"/>
    <n v="0.18698039311729164"/>
    <n v="-0.271676847"/>
    <n v="-0.95194763900000001"/>
    <n v="-0.76684157506166817"/>
    <n v="-1.2236244860000001"/>
    <n v="0.22729923699999999"/>
    <n v="-1.9904660610616682"/>
    <n v="0.12020756419392971"/>
    <n v="-0.268457324"/>
    <n v="0.24509033099999999"/>
    <n v="-1.127335091"/>
    <n v="-1.7301087626541234"/>
    <n v="0.15359397865561067"/>
    <x v="1"/>
    <n v="7.9300000000000003E-5"/>
    <n v="0.99991929000000002"/>
    <n v="1.3799999999999999E-6"/>
    <n v="3.45E-17"/>
  </r>
  <r>
    <x v="0"/>
    <s v="Diatraea_SAM_17"/>
    <x v="103"/>
    <n v="-0.18657446"/>
    <n v="-0.76580789500000002"/>
    <n v="-6.8234224002180349E-2"/>
    <n v="-0.95238235400000004"/>
    <n v="0.27840596400000001"/>
    <n v="-1.0206165790021804"/>
    <n v="0.26490731581991356"/>
    <n v="1.9056129000000002E-2"/>
    <n v="-0.95194763900000001"/>
    <n v="0.23599397861893998"/>
    <n v="-0.93289151000000003"/>
    <n v="0.28233845800000001"/>
    <n v="-0.69689753138106003"/>
    <n v="0.33250044362074688"/>
    <n v="-8.3759164999999997E-2"/>
    <n v="0.28037221099999998"/>
    <n v="-0.94263693200000009"/>
    <n v="-0.85875705519162016"/>
    <n v="0.29870387972033019"/>
    <x v="0"/>
    <n v="6.5399999999999998E-16"/>
    <n v="9.9500000000000006E-40"/>
    <n v="3.0300000000000001E-18"/>
    <n v="1"/>
  </r>
  <r>
    <x v="0"/>
    <s v="Diatraea_SAM_17"/>
    <x v="104"/>
    <n v="-0.10798244799999999"/>
    <n v="-0.76580789500000002"/>
    <n v="-6.8234224002180349E-2"/>
    <n v="-0.87379034200000005"/>
    <n v="0.29446622300000003"/>
    <n v="-0.9420245670021804"/>
    <n v="0.28049157094675442"/>
    <n v="0.11199429900000001"/>
    <n v="-0.95194763900000001"/>
    <n v="0.23599397861893998"/>
    <n v="-0.83995333999999999"/>
    <n v="0.30154461100000002"/>
    <n v="-0.60395936138105999"/>
    <n v="0.35343837757187457"/>
    <n v="2.0059259999999999E-3"/>
    <n v="0.29800541699999999"/>
    <n v="-0.85687184100000002"/>
    <n v="-0.7729919641916202"/>
    <n v="0.31696497425931447"/>
    <x v="0"/>
    <n v="8.3099999999999994E-14"/>
    <n v="1.5199999999999999E-35"/>
    <n v="1.33E-18"/>
    <n v="1"/>
  </r>
  <r>
    <x v="0"/>
    <s v="Diatraea_SAM_17"/>
    <x v="105"/>
    <n v="-0.249017135"/>
    <n v="-0.76580789500000002"/>
    <n v="-6.8234224002180349E-2"/>
    <n v="-1.014825029"/>
    <n v="0.26603664700000001"/>
    <n v="-1.0830592540021802"/>
    <n v="0.25292751793395468"/>
    <n v="-0.45557595499999998"/>
    <n v="-0.95194763900000001"/>
    <n v="0.23599397861893998"/>
    <n v="-1.4075235939999999"/>
    <n v="0.196624944"/>
    <n v="-1.1715296153810599"/>
    <n v="0.23657861040007541"/>
    <n v="-0.35229654500000002"/>
    <n v="0.23133079600000001"/>
    <n v="-1.2111743115"/>
    <n v="-1.1272944346916201"/>
    <n v="0.24475306416701503"/>
    <x v="0"/>
    <n v="7.6399999999999999E-16"/>
    <n v="6.7999999999999998E-39"/>
    <n v="1.6900000000000001E-20"/>
    <n v="1"/>
  </r>
  <r>
    <x v="0"/>
    <s v="Diatraea_SAM_17"/>
    <x v="106"/>
    <n v="0.216709504"/>
    <n v="-0.76580789500000002"/>
    <n v="-6.8234224002180349E-2"/>
    <n v="-0.54909839100000002"/>
    <n v="0.36607361399999999"/>
    <n v="-0.6173326150021804"/>
    <n v="0.35038834931832319"/>
    <n v="0.37976249000000001"/>
    <n v="-0.95194763900000001"/>
    <n v="0.23599397861893998"/>
    <n v="-0.57218514899999995"/>
    <n v="0.36073276599999998"/>
    <n v="-0.33619117038106006"/>
    <n v="0.41673498297748263"/>
    <n v="0.29823599699999997"/>
    <n v="0.36340318999999999"/>
    <n v="-0.56064176999999993"/>
    <n v="-0.47676189269162023"/>
    <n v="0.38356166614790288"/>
    <x v="0"/>
    <n v="0.99912825299999997"/>
    <n v="1.75E-23"/>
    <n v="8.6279599999999998E-4"/>
    <n v="8.9500000000000007E-6"/>
  </r>
  <r>
    <x v="0"/>
    <s v="Diatraea_SAM_17"/>
    <x v="107"/>
    <n v="-0.30571691699999998"/>
    <n v="-0.76580789500000002"/>
    <n v="-6.8234224002180349E-2"/>
    <n v="-1.071524812"/>
    <n v="0.255113215"/>
    <n v="-1.1397590360021803"/>
    <n v="0.24236460502329407"/>
    <n v="-0.34662630999999999"/>
    <n v="-0.95194763900000001"/>
    <n v="0.23599397861893998"/>
    <n v="-1.2985739489999999"/>
    <n v="0.21440511700000001"/>
    <n v="-1.0625799703810601"/>
    <n v="0.25681672779212639"/>
    <n v="-0.32617161300000003"/>
    <n v="0.23475916599999999"/>
    <n v="-1.1850493805"/>
    <n v="-1.1011695031916202"/>
    <n v="0.24959066640771022"/>
    <x v="0"/>
    <n v="0.71143882400000003"/>
    <n v="1.28E-25"/>
    <n v="5.13E-6"/>
    <n v="0.28855604699999998"/>
  </r>
  <r>
    <x v="0"/>
    <s v="Diatraea_SAM_17"/>
    <x v="108"/>
    <n v="0.24733229100000001"/>
    <n v="-0.76580789500000002"/>
    <n v="-6.8234224002180349E-2"/>
    <n v="-0.51847560400000003"/>
    <n v="0.373208757"/>
    <n v="-0.58670982800218041"/>
    <n v="0.35739012811932813"/>
    <n v="0.52379081699999996"/>
    <n v="-0.95194763900000001"/>
    <n v="0.23599397861893998"/>
    <n v="-0.42815682300000002"/>
    <n v="0.39456655099999999"/>
    <n v="-0.19216284338106007"/>
    <n v="0.45210657680548649"/>
    <n v="0.38556155399999997"/>
    <n v="0.38388765400000002"/>
    <n v="-0.47331621350000003"/>
    <n v="-0.38943633569162023"/>
    <n v="0.40474835246240731"/>
    <x v="0"/>
    <n v="1.1999999999999999E-17"/>
    <n v="7.8400000000000001E-45"/>
    <n v="4.5299999999999999E-23"/>
    <n v="1"/>
  </r>
  <r>
    <x v="0"/>
    <s v="Diatraea_SAM_17"/>
    <x v="109"/>
    <n v="6.6432820000000004E-2"/>
    <n v="-0.76580789500000002"/>
    <n v="-6.8234224002180349E-2"/>
    <n v="-0.69937507399999999"/>
    <n v="0.33195079599999999"/>
    <n v="-0.76760929900218045"/>
    <n v="0.31699648965074173"/>
    <n v="0.142493069"/>
    <n v="-0.95194763900000001"/>
    <n v="0.23599397861893998"/>
    <n v="-0.80945456999999998"/>
    <n v="0.308006736"/>
    <n v="-0.57346059138105998"/>
    <n v="0.36043869551036983"/>
    <n v="0.104462945"/>
    <n v="0.31997876600000003"/>
    <n v="-0.75441482199999998"/>
    <n v="-0.67053494519162027"/>
    <n v="0.33871759258055578"/>
    <x v="0"/>
    <n v="0.99948858299999999"/>
    <n v="3.45E-6"/>
    <n v="5.0796800000000003E-4"/>
    <n v="9.9099999999999996E-12"/>
  </r>
  <r>
    <x v="0"/>
    <s v="Diatraea_SAM_17"/>
    <x v="110"/>
    <n v="-7.9843250000000004E-2"/>
    <n v="-0.76580789500000002"/>
    <n v="-6.8234224002180349E-2"/>
    <n v="-0.84565114500000005"/>
    <n v="0.30034592399999999"/>
    <n v="-0.91388536900218043"/>
    <n v="0.28620542901191487"/>
    <n v="5.0290498000000003E-2"/>
    <n v="-0.95194763900000001"/>
    <n v="0.23599397861893998"/>
    <n v="-0.90165714100000005"/>
    <n v="0.28871007300000001"/>
    <n v="-0.66566316238106005"/>
    <n v="0.33946861041029353"/>
    <n v="-1.4776376000000001E-2"/>
    <n v="0.29452799899999998"/>
    <n v="-0.87365414299999999"/>
    <n v="-0.78977426569162024"/>
    <n v="0.31283701971110423"/>
    <x v="0"/>
    <n v="3.7700000000000001E-16"/>
    <n v="7.91E-38"/>
    <n v="4.0300000000000002E-22"/>
    <n v="1"/>
  </r>
  <r>
    <x v="0"/>
    <s v="Diatraea_SAM_17"/>
    <x v="111"/>
    <n v="-0.194616223"/>
    <n v="-0.76580789500000002"/>
    <n v="-6.8234224002180349E-2"/>
    <n v="-0.96042411699999997"/>
    <n v="0.27679328800000003"/>
    <n v="-1.0286583420021804"/>
    <n v="0.26334429521949015"/>
    <n v="-7.6364970000000004E-2"/>
    <n v="-0.95194763900000001"/>
    <n v="0.23599397861893998"/>
    <n v="-1.0283126090000001"/>
    <n v="0.26341137100000001"/>
    <n v="-0.7923186303810601"/>
    <n v="0.31167103146316166"/>
    <n v="-0.13549059599999999"/>
    <n v="0.27010232899999997"/>
    <n v="-0.99436836299999998"/>
    <n v="-0.91048848619162026"/>
    <n v="0.28750766334132594"/>
    <x v="0"/>
    <n v="2.3200000000000001E-5"/>
    <n v="1.8099999999999999E-29"/>
    <n v="0.99997681400000005"/>
    <n v="2.8599999999999999E-20"/>
  </r>
  <r>
    <x v="0"/>
    <s v="Diatraea_SAM_17"/>
    <x v="112"/>
    <n v="0.22217400200000001"/>
    <n v="-0.76580789500000002"/>
    <n v="-6.8234224002180349E-2"/>
    <n v="-0.54363389299999998"/>
    <n v="0.36734265199999999"/>
    <n v="-0.61186811700218036"/>
    <n v="0.35163317304063274"/>
    <n v="0.11199429900000001"/>
    <n v="-0.95194763900000001"/>
    <n v="0.23599397861893998"/>
    <n v="-0.83995333999999999"/>
    <n v="0.30154461100000002"/>
    <n v="-0.60395936138105999"/>
    <n v="0.35343837757187457"/>
    <n v="0.16708415099999999"/>
    <n v="0.33444363199999999"/>
    <n v="-0.69179361650000004"/>
    <n v="-0.60791373919162017"/>
    <n v="0.35253577530625368"/>
    <x v="0"/>
    <n v="0.99980597199999999"/>
    <n v="4.4699999999999998E-22"/>
    <n v="5.0500000000000001E-5"/>
    <n v="1.4349E-4"/>
  </r>
  <r>
    <x v="0"/>
    <s v="Diatraea_SAM_17"/>
    <x v="2"/>
    <n v="3.0855105000000001E-2"/>
    <n v="-0.76580789500000002"/>
    <n v="-6.8234224002180349E-2"/>
    <n v="-0.73495279000000002"/>
    <n v="0.32410881400000002"/>
    <n v="-0.8031870140021804"/>
    <n v="0.30934419875722996"/>
    <n v="0.262453504"/>
    <n v="-0.95194763900000001"/>
    <n v="0.23599397861893998"/>
    <n v="-0.68949413500000001"/>
    <n v="0.33414561500000001"/>
    <n v="-0.45350015638106"/>
    <n v="0.38852889550508041"/>
    <n v="0.14665430500000001"/>
    <n v="0.32912721499999997"/>
    <n v="-0.71222346250000002"/>
    <n v="-0.62834358519162015"/>
    <n v="0.34893654713115518"/>
    <x v="1"/>
    <n v="2E-14"/>
    <n v="2.4500000000000002E-35"/>
    <n v="1.3600000000000001E-12"/>
    <n v="1"/>
  </r>
  <r>
    <x v="0"/>
    <s v="Diatraea_SAM_17"/>
    <x v="3"/>
    <n v="0.33822514999999997"/>
    <n v="-0.76580789500000002"/>
    <n v="-6.8234224002180349E-2"/>
    <n v="-0.42758274499999999"/>
    <n v="0.39470369700000002"/>
    <n v="-0.49581696900218042"/>
    <n v="0.37852419899125783"/>
    <n v="0.40876359499999998"/>
    <n v="-0.95194763900000001"/>
    <n v="0.23599397861893998"/>
    <n v="-0.54318404499999995"/>
    <n v="0.36744720400000003"/>
    <n v="-0.30719006538105997"/>
    <n v="0.42380075979261084"/>
    <n v="0.37349437200000002"/>
    <n v="0.38107544999999998"/>
    <n v="-0.48538339499999994"/>
    <n v="-0.4015035171916202"/>
    <n v="0.40116247939193433"/>
    <x v="1"/>
    <n v="1.2099999999999999E-16"/>
    <n v="7.3199999999999999E-41"/>
    <n v="4.96E-19"/>
    <n v="1"/>
  </r>
  <r>
    <x v="0"/>
    <s v="Diatraea_SAM_17"/>
    <x v="113"/>
    <n v="-5.4548481000000003E-2"/>
    <n v="-0.76580789500000002"/>
    <n v="-6.8234224002180349E-2"/>
    <n v="-0.820356376"/>
    <n v="0.30568801600000001"/>
    <n v="-0.88859060000218038"/>
    <n v="0.29140076372391577"/>
    <n v="-0.73194795400000001"/>
    <n v="-0.95194763900000001"/>
    <n v="0.23599397861893998"/>
    <n v="-1.6838955929999999"/>
    <n v="0.156580317"/>
    <n v="-1.4479016143810599"/>
    <n v="0.19032471969112688"/>
    <n v="-0.39324821700000001"/>
    <n v="0.231134167"/>
    <n v="-1.2521259844999999"/>
    <n v="-1.1682461071916201"/>
    <n v="0.24086274170752131"/>
    <x v="0"/>
    <n v="9.3600000000000005E-13"/>
    <n v="1.95E-18"/>
    <n v="9.6399999999999999E-17"/>
    <n v="1"/>
  </r>
  <r>
    <x v="0"/>
    <s v="Diatraea_SAM_17"/>
    <x v="114"/>
    <n v="3.0525959999999999E-3"/>
    <n v="-0.76580789500000002"/>
    <n v="-6.8234224002180349E-2"/>
    <n v="-0.76275529900000005"/>
    <n v="0.31804835999999997"/>
    <n v="-0.83098952300218043"/>
    <n v="0.30343588140269873"/>
    <n v="-0.45557595499999998"/>
    <n v="-0.95194763900000001"/>
    <n v="0.23599397861893998"/>
    <n v="-1.4075235939999999"/>
    <n v="0.196624944"/>
    <n v="-1.1715296153810599"/>
    <n v="0.23657861040007541"/>
    <n v="-0.22626167999999999"/>
    <n v="0.257336652"/>
    <n v="-1.0851394464999999"/>
    <n v="-1.0012595691916202"/>
    <n v="0.27000724590138708"/>
    <x v="0"/>
    <n v="7.9300000000000005E-31"/>
    <n v="1"/>
    <n v="3.6400000000000002E-34"/>
    <n v="7.11E-49"/>
  </r>
  <r>
    <x v="0"/>
    <s v="Diatraea_SAM_17"/>
    <x v="115"/>
    <n v="9.5351150999999995E-2"/>
    <n v="-0.76580789500000002"/>
    <n v="-6.8234224002180349E-2"/>
    <n v="-0.67045674399999999"/>
    <n v="0.338394576"/>
    <n v="-0.73869096800218037"/>
    <n v="0.32329045931415057"/>
    <n v="8.1264909999999996E-2"/>
    <n v="-0.95194763900000001"/>
    <n v="0.23599397861893998"/>
    <n v="-0.87068272899999999"/>
    <n v="0.29511226000000002"/>
    <n v="-0.63468875038105999"/>
    <n v="0.34644813943904013"/>
    <n v="8.8308029999999996E-2"/>
    <n v="0.31675341800000001"/>
    <n v="-0.77056973649999994"/>
    <n v="-0.68668985919162018"/>
    <n v="0.33486929937659538"/>
    <x v="0"/>
    <n v="0.872374066"/>
    <n v="3.4299999999999999E-22"/>
    <n v="0.12762495200000001"/>
    <n v="9.8100000000000001E-7"/>
  </r>
  <r>
    <x v="0"/>
    <s v="Diatraea_SAM_17"/>
    <x v="116"/>
    <n v="1.3549829999999999E-3"/>
    <n v="-0.76580789500000002"/>
    <n v="-6.8234224002180349E-2"/>
    <n v="-0.76445291199999998"/>
    <n v="0.31768027300000001"/>
    <n v="-0.83268713600218036"/>
    <n v="0.30307718937273836"/>
    <n v="5.0290498000000003E-2"/>
    <n v="-0.95194763900000001"/>
    <n v="0.23599397861893998"/>
    <n v="-0.90165714100000005"/>
    <n v="0.28871007300000001"/>
    <n v="-0.66566316238106005"/>
    <n v="0.33946861041029353"/>
    <n v="2.5822741E-2"/>
    <n v="0.30319517299999998"/>
    <n v="-0.83305502650000007"/>
    <n v="-0.7491751491916202"/>
    <n v="0.32127289989151597"/>
    <x v="0"/>
    <n v="3.8211499999999998E-4"/>
    <n v="0.99961740300000002"/>
    <n v="4.8299999999999997E-7"/>
    <n v="2.9700000000000001E-15"/>
  </r>
  <r>
    <x v="0"/>
    <s v="Diatraea_SAM_18"/>
    <x v="117"/>
    <n v="-7.2779712999999996E-2"/>
    <n v="-0.76580789500000002"/>
    <n v="0.35462276651059182"/>
    <n v="-0.83858760799999998"/>
    <n v="0.30183233300000001"/>
    <n v="-0.48396484148940816"/>
    <n v="0.38131632375546781"/>
    <n v="-0.26017420099999999"/>
    <n v="-0.95194763900000001"/>
    <n v="0.53261546166894247"/>
    <n v="-1.2121218410000001"/>
    <n v="0.22932583100000001"/>
    <n v="-0.67950637833105754"/>
    <n v="0.33637148274079709"/>
    <n v="-0.16647695700000001"/>
    <n v="0.26557908200000002"/>
    <n v="-1.0253547245000001"/>
    <n v="-0.58173560991023288"/>
    <n v="0.35884390324813242"/>
    <x v="0"/>
    <n v="9.8699999999999998E-15"/>
    <n v="8.3700000000000005E-36"/>
    <n v="1.17E-20"/>
    <n v="1"/>
  </r>
  <r>
    <x v="0"/>
    <s v="Diatraea_SAM_18"/>
    <x v="118"/>
    <n v="5.3307838000000003E-2"/>
    <n v="-0.76580789500000002"/>
    <n v="0.35462276651059182"/>
    <n v="-0.71250005699999996"/>
    <n v="0.32904665399999999"/>
    <n v="-0.35787729048940814"/>
    <n v="0.41147351100200158"/>
    <n v="-0.26017420099999999"/>
    <n v="-0.95194763900000001"/>
    <n v="0.53261546166894247"/>
    <n v="-1.2121218410000001"/>
    <n v="0.22932583100000001"/>
    <n v="-0.67950637833105754"/>
    <n v="0.33637148274079709"/>
    <n v="-0.103433182"/>
    <n v="0.279186243"/>
    <n v="-0.96231094900000003"/>
    <n v="-0.51869183441023281"/>
    <n v="0.37392249687139933"/>
    <x v="0"/>
    <n v="1.9700000000000001E-15"/>
    <n v="3.0999999999999998E-38"/>
    <n v="8.5700000000000007E-21"/>
    <n v="1"/>
  </r>
  <r>
    <x v="0"/>
    <s v="Diatraea_SAM_18"/>
    <x v="119"/>
    <n v="-0.187557997"/>
    <n v="-0.76580789500000002"/>
    <n v="0.35462276651059182"/>
    <n v="-0.95336589199999999"/>
    <n v="0.27820841800000001"/>
    <n v="-0.59874312548940822"/>
    <n v="0.35463129946906102"/>
    <n v="-7.7134640000000004E-2"/>
    <n v="-0.95194763900000001"/>
    <n v="0.53261546166894247"/>
    <n v="-1.0290822799999999"/>
    <n v="0.26326206200000002"/>
    <n v="-0.49646681733105757"/>
    <n v="0.37837133838389853"/>
    <n v="-0.13234631899999999"/>
    <n v="0.27073523999999999"/>
    <n v="-0.99122408599999989"/>
    <n v="-0.5476049714102329"/>
    <n v="0.36650131892647975"/>
    <x v="0"/>
    <n v="6.2000000000000002E-12"/>
    <n v="5.5799999999999998E-33"/>
    <n v="1.41E-17"/>
    <n v="1"/>
  </r>
  <r>
    <x v="0"/>
    <s v="Diatraea_SAM_18"/>
    <x v="120"/>
    <n v="-0.42701508500000002"/>
    <n v="-0.76580789500000002"/>
    <n v="0.35462276651059182"/>
    <n v="-1.192822979"/>
    <n v="0.23275442800000001"/>
    <n v="-0.83820021348940821"/>
    <n v="0.30191397518143576"/>
    <n v="-0.55401254600000005"/>
    <n v="-0.95194763900000001"/>
    <n v="0.53261546166894247"/>
    <n v="-1.505960185"/>
    <n v="0.181538265"/>
    <n v="-0.9733447233310577"/>
    <n v="0.27421433012658325"/>
    <n v="-0.49051381500000002"/>
    <n v="0.20714634700000001"/>
    <n v="-1.349391582"/>
    <n v="-0.90577246841023296"/>
    <n v="0.28806415265400953"/>
    <x v="0"/>
    <n v="8.7500000000000001E-13"/>
    <n v="3.5299999999999998E-31"/>
    <n v="9.7100000000000004E-15"/>
    <n v="1"/>
  </r>
  <r>
    <x v="0"/>
    <s v="Diatraea_SAM_18"/>
    <x v="121"/>
    <n v="0.100685099"/>
    <n v="-0.76580789500000002"/>
    <n v="0.35462276651059182"/>
    <n v="-0.66512279600000002"/>
    <n v="0.33958978699999998"/>
    <n v="-0.31050002948940819"/>
    <n v="0.42299269203623424"/>
    <n v="-0.35510267899999998"/>
    <n v="-0.95194763900000001"/>
    <n v="0.53261546166894247"/>
    <n v="-1.307050319"/>
    <n v="0.212980851"/>
    <n v="-0.77443485633105746"/>
    <n v="0.31552053951825543"/>
    <n v="-0.12720878999999999"/>
    <n v="0.27628531899999997"/>
    <n v="-0.98608655749999996"/>
    <n v="-0.54246744291023286"/>
    <n v="0.36925661577724483"/>
    <x v="0"/>
    <n v="2.7499999999999999E-11"/>
    <n v="2.3400000000000001E-36"/>
    <n v="7.6500000000000002E-14"/>
    <n v="1"/>
  </r>
  <r>
    <x v="0"/>
    <s v="Diatraea_SAM_18"/>
    <x v="122"/>
    <n v="-0.15546199899999999"/>
    <n v="-0.76580789500000002"/>
    <n v="0.35462276651059182"/>
    <n v="-0.92126989299999995"/>
    <n v="0.28469921500000001"/>
    <n v="-0.56664712748940826"/>
    <n v="0.36201084207553869"/>
    <n v="-0.38735508800000001"/>
    <n v="-0.95194763900000001"/>
    <n v="0.53261546166894247"/>
    <n v="-1.3393027280000001"/>
    <n v="0.207624748"/>
    <n v="-0.8066872653310575"/>
    <n v="0.30859686827058375"/>
    <n v="-0.27140854399999997"/>
    <n v="0.246161982"/>
    <n v="-1.1302863105000001"/>
    <n v="-0.68666719641023288"/>
    <n v="0.33530385517306122"/>
    <x v="0"/>
    <n v="2.41E-12"/>
    <n v="6.8000000000000001E-33"/>
    <n v="3.4100000000000002E-16"/>
    <n v="1"/>
  </r>
  <r>
    <x v="0"/>
    <s v="Diatraea_SAM_18"/>
    <x v="123"/>
    <n v="-0.106481205"/>
    <n v="-0.76580789500000002"/>
    <n v="0.35462276651059182"/>
    <n v="-0.87228910000000004"/>
    <n v="0.29477821100000001"/>
    <n v="-0.51766633348940827"/>
    <n v="0.37339808468512159"/>
    <n v="-0.29152899999999998"/>
    <n v="-0.95194763900000001"/>
    <n v="0.53261546166894247"/>
    <n v="-1.2434766390000001"/>
    <n v="0.22383140600000001"/>
    <n v="-0.71086117733105758"/>
    <n v="0.32940857941322615"/>
    <n v="-0.19900510299999999"/>
    <n v="0.25930480900000002"/>
    <n v="-1.0578828695"/>
    <n v="-0.61426375541023293"/>
    <n v="0.35140333204917384"/>
    <x v="0"/>
    <n v="0.99951634899999997"/>
    <n v="3.8299999999999998E-24"/>
    <n v="4.8347599999999999E-4"/>
    <n v="1.7499999999999999E-7"/>
  </r>
  <r>
    <x v="0"/>
    <s v="Diatraea_SAM_18"/>
    <x v="124"/>
    <n v="-9.6427391000000001E-2"/>
    <n v="-0.76580789500000002"/>
    <n v="0.35462276651059182"/>
    <n v="-0.86223528599999999"/>
    <n v="0.29687254200000002"/>
    <n v="-0.50761251948940811"/>
    <n v="0.37575337325002101"/>
    <n v="1.1730358E-2"/>
    <n v="-0.95194763900000001"/>
    <n v="0.53261546166894247"/>
    <n v="-0.94021728100000002"/>
    <n v="0.280856455"/>
    <n v="-0.40760181933105755"/>
    <n v="0.39948729905095559"/>
    <n v="-4.2348516000000003E-2"/>
    <n v="0.28886449800000003"/>
    <n v="-0.9012262835"/>
    <n v="-0.45760716941023283"/>
    <n v="0.3876203361504883"/>
    <x v="0"/>
    <n v="3.3399999999999998E-17"/>
    <n v="1.2800000000000001E-35"/>
    <n v="2.1899999999999999E-17"/>
    <n v="1"/>
  </r>
  <r>
    <x v="0"/>
    <s v="Diatraea_SAM_18"/>
    <x v="125"/>
    <n v="0.203817941"/>
    <n v="-0.76580789500000002"/>
    <n v="0.35462276651059182"/>
    <n v="-0.56198995299999999"/>
    <n v="0.36308714800000003"/>
    <n v="-0.20736718748940813"/>
    <n v="0.44834317915902905"/>
    <n v="0.271583401"/>
    <n v="-0.95194763900000001"/>
    <n v="0.53261546166894247"/>
    <n v="-0.68036423899999998"/>
    <n v="0.336180013"/>
    <n v="-0.14774877633105754"/>
    <n v="0.46312985354966069"/>
    <n v="0.237700671"/>
    <n v="0.34963358100000003"/>
    <n v="-0.62117709600000004"/>
    <n v="-0.17755798191023284"/>
    <n v="0.45573651635434487"/>
    <x v="0"/>
    <n v="1.71E-13"/>
    <n v="6.9099999999999995E-45"/>
    <n v="4.5599999999999996E-18"/>
    <n v="1"/>
  </r>
  <r>
    <x v="0"/>
    <s v="Diatraea_SAM_18"/>
    <x v="126"/>
    <n v="5.8852193999999997E-2"/>
    <n v="-0.76580789500000002"/>
    <n v="0.35462276651059182"/>
    <n v="-0.70695570100000005"/>
    <n v="0.33027186800000002"/>
    <n v="-0.35233293448940822"/>
    <n v="0.412816805098561"/>
    <n v="0.12821163999999999"/>
    <n v="-0.95194763900000001"/>
    <n v="0.53261546166894247"/>
    <n v="-0.82373599900000005"/>
    <n v="0.30497118699999998"/>
    <n v="-0.29112053733105758"/>
    <n v="0.42772956313527211"/>
    <n v="9.3531917000000006E-2"/>
    <n v="0.31762152700000001"/>
    <n v="-0.76534585000000011"/>
    <n v="-0.32172673591023293"/>
    <n v="0.42027318411691655"/>
    <x v="0"/>
    <n v="9.1700000000000003E-15"/>
    <n v="2.2899999999999999E-36"/>
    <n v="5.79E-18"/>
    <n v="1"/>
  </r>
  <r>
    <x v="0"/>
    <s v="Diatraea_SAM_18"/>
    <x v="127"/>
    <n v="4.2313189000000001E-2"/>
    <n v="-0.76580789500000002"/>
    <n v="0.35462276651059182"/>
    <n v="-0.72349470599999999"/>
    <n v="0.32662388999999997"/>
    <n v="-0.36887193948940816"/>
    <n v="0.40881362885297956"/>
    <n v="0.12821163999999999"/>
    <n v="-0.95194763900000001"/>
    <n v="0.53261546166894247"/>
    <n v="-0.82373599900000005"/>
    <n v="0.30497118699999998"/>
    <n v="-0.29112053733105758"/>
    <n v="0.42772956313527211"/>
    <n v="8.5262414999999994E-2"/>
    <n v="0.31579753799999999"/>
    <n v="-0.77361535250000002"/>
    <n v="-0.32999623841023284"/>
    <n v="0.41827159599412583"/>
    <x v="0"/>
    <n v="1.98E-12"/>
    <n v="4.2500000000000001E-34"/>
    <n v="7.3300000000000001E-14"/>
    <n v="1"/>
  </r>
  <r>
    <x v="0"/>
    <s v="Diatraea_SAM_18"/>
    <x v="128"/>
    <n v="0.105242496"/>
    <n v="-0.76580789500000002"/>
    <n v="0.35462276651059182"/>
    <n v="-0.66056539800000003"/>
    <n v="0.34061261399999998"/>
    <n v="-0.30594263248940817"/>
    <n v="0.42410540393369567"/>
    <n v="7.0219355999999997E-2"/>
    <n v="-0.95194763900000001"/>
    <n v="0.53261546166894247"/>
    <n v="-0.88172828299999995"/>
    <n v="0.29281976399999998"/>
    <n v="-0.34911282133105759"/>
    <n v="0.41359757611834241"/>
    <n v="8.7730926000000001E-2"/>
    <n v="0.31671618899999998"/>
    <n v="-0.77114684049999993"/>
    <n v="-0.32752772691023291"/>
    <n v="0.41885149002601907"/>
    <x v="0"/>
    <n v="3.7499999999999998E-19"/>
    <n v="3.8699999999999998E-38"/>
    <n v="1.1200000000000001E-23"/>
    <n v="1"/>
  </r>
  <r>
    <x v="0"/>
    <s v="Diatraea_SAM_18"/>
    <x v="2"/>
    <n v="0.35772148500000001"/>
    <n v="-0.76580789500000002"/>
    <n v="0.35462276651059182"/>
    <n v="-0.40808640899999998"/>
    <n v="0.39937105299999998"/>
    <n v="-5.3463643489408186E-2"/>
    <n v="0.48663727193461548"/>
    <n v="0.58423109500000003"/>
    <n v="-0.95194763900000001"/>
    <n v="0.53261546166894247"/>
    <n v="-0.36771654399999998"/>
    <n v="0.40909289999999998"/>
    <n v="0.16489891766894249"/>
    <n v="0.54113156868352885"/>
    <n v="0.47097629000000002"/>
    <n v="0.40423197599999999"/>
    <n v="-0.38790147649999995"/>
    <n v="5.5717637089767152E-2"/>
    <n v="0.51388442030907222"/>
    <x v="1"/>
    <n v="2E-14"/>
    <n v="2.4500000000000002E-35"/>
    <n v="1.3600000000000001E-12"/>
    <n v="1"/>
  </r>
  <r>
    <x v="0"/>
    <s v="Diatraea_SAM_18"/>
    <x v="3"/>
    <n v="-1.6725765E-2"/>
    <n v="-0.76580789500000002"/>
    <n v="0.35462276651059182"/>
    <n v="-0.78253366000000002"/>
    <n v="0.31377408099999998"/>
    <n v="-0.4279108934894082"/>
    <n v="0.39462530109414407"/>
    <n v="0.32850443499999998"/>
    <n v="-0.95194763900000001"/>
    <n v="0.53261546166894247"/>
    <n v="-0.62344320499999994"/>
    <n v="0.34899875400000002"/>
    <n v="-9.0827742331057504E-2"/>
    <n v="0.47730866196027055"/>
    <n v="0.15588933499999999"/>
    <n v="0.33138641800000002"/>
    <n v="-0.70298843249999998"/>
    <n v="-0.25936931791023288"/>
    <n v="0.43596698152720731"/>
    <x v="1"/>
    <n v="1.2099999999999999E-16"/>
    <n v="7.3199999999999999E-41"/>
    <n v="4.96E-19"/>
    <n v="1"/>
  </r>
  <r>
    <x v="0"/>
    <s v="Diatraea_SAM_18"/>
    <x v="129"/>
    <n v="0.109487019"/>
    <n v="-0.76580789500000002"/>
    <n v="0.35462276651059182"/>
    <n v="-0.656320876"/>
    <n v="0.34156655899999999"/>
    <n v="-0.30169810948940817"/>
    <n v="0.42514241877816644"/>
    <n v="0.35691322599999997"/>
    <n v="-0.95194763900000001"/>
    <n v="0.53261546166894247"/>
    <n v="-0.59503441300000004"/>
    <n v="0.355480562"/>
    <n v="-6.2418951331057571E-2"/>
    <n v="0.48440032669543787"/>
    <n v="0.23320012300000001"/>
    <n v="0.34852356099999998"/>
    <n v="-0.62567764450000007"/>
    <n v="-0.18205853041023287"/>
    <n v="0.45477137273680213"/>
    <x v="0"/>
    <n v="4.4299999999999998E-14"/>
    <n v="3.6399999999999998E-32"/>
    <n v="7.9800000000000001E-19"/>
    <n v="1"/>
  </r>
  <r>
    <x v="0"/>
    <s v="Diatraea_SAM_18"/>
    <x v="130"/>
    <n v="5.8002861000000003E-2"/>
    <n v="-0.76580789500000002"/>
    <n v="0.35462276651059182"/>
    <n v="-0.70780503400000006"/>
    <n v="0.330084029"/>
    <n v="-0.35318226748940823"/>
    <n v="0.41261094280778304"/>
    <n v="0.35691322599999997"/>
    <n v="-0.95194763900000001"/>
    <n v="0.53261546166894247"/>
    <n v="-0.59503441300000004"/>
    <n v="0.355480562"/>
    <n v="-6.2418951331057571E-2"/>
    <n v="0.48440032669543787"/>
    <n v="0.20745804400000001"/>
    <n v="0.34278229500000001"/>
    <n v="-0.6514197235000001"/>
    <n v="-0.2078006094102329"/>
    <n v="0.44850563475161043"/>
    <x v="0"/>
    <n v="1.6899999999999999E-14"/>
    <n v="6.1099999999999997E-36"/>
    <n v="8.6699999999999993E-18"/>
    <n v="1"/>
  </r>
  <r>
    <x v="0"/>
    <s v="Diatraea_SAM_2"/>
    <x v="131"/>
    <n v="-0.10319800599999999"/>
    <n v="-0.76580789500000002"/>
    <n v="-0.28527186548946204"/>
    <n v="-0.8690059"/>
    <n v="0.29546119599999998"/>
    <n v="-1.1542777664894621"/>
    <n v="0.23970859915777304"/>
    <n v="-0.43103137899999999"/>
    <n v="-0.95194763900000001"/>
    <n v="-0.3346834104896344"/>
    <n v="-1.382979019"/>
    <n v="0.200530982"/>
    <n v="-1.7176624284896342"/>
    <n v="0.15217250271028815"/>
    <n v="-0.26711469300000001"/>
    <n v="0.247996089"/>
    <n v="-1.1259924594999999"/>
    <n v="-1.4359700974895482"/>
    <n v="0.19594055093403059"/>
    <x v="0"/>
    <n v="7.0699999999999997E-29"/>
    <n v="1"/>
    <n v="1.4400000000000001E-32"/>
    <n v="1.31E-34"/>
  </r>
  <r>
    <x v="0"/>
    <s v="Diatraea_SAM_2"/>
    <x v="132"/>
    <n v="-9.1242035999999999E-2"/>
    <n v="-0.76580789500000002"/>
    <n v="-0.28527186548946204"/>
    <n v="-0.85704992999999996"/>
    <n v="0.29795606800000002"/>
    <n v="-1.1423217964894621"/>
    <n v="0.2418943314424262"/>
    <n v="-0.16098092899999999"/>
    <n v="-0.95194763900000001"/>
    <n v="-0.3346834104896344"/>
    <n v="-1.1129285680000001"/>
    <n v="0.24732531599999999"/>
    <n v="-1.4476119784896344"/>
    <n v="0.19036935693891313"/>
    <n v="-0.126111482"/>
    <n v="0.27264069200000002"/>
    <n v="-0.98498924900000007"/>
    <n v="-1.2949668874895481"/>
    <n v="0.21613184419066966"/>
    <x v="0"/>
    <n v="5.4900000000000003E-34"/>
    <n v="1"/>
    <n v="1.08E-38"/>
    <n v="2.21E-33"/>
  </r>
  <r>
    <x v="0"/>
    <s v="Diatraea_SAM_2"/>
    <x v="90"/>
    <n v="-0.13468242999999999"/>
    <n v="-0.76580789500000002"/>
    <n v="-0.28527186548946204"/>
    <n v="-0.90049032500000004"/>
    <n v="0.28894974600000001"/>
    <n v="-1.185762190489462"/>
    <n v="0.23401772122572836"/>
    <n v="-1.123207115"/>
    <n v="-0.95194763900000001"/>
    <n v="-0.3346834104896344"/>
    <n v="-2.0751547540000002"/>
    <n v="0.111535204"/>
    <n v="-2.4098381644896345"/>
    <n v="8.2425557176900893E-2"/>
    <n v="-0.62894477199999999"/>
    <n v="0.200242475"/>
    <n v="-1.4878225395000002"/>
    <n v="-1.7978001774895482"/>
    <n v="0.15822163920131463"/>
    <x v="1"/>
    <n v="7.0300000000000003E-13"/>
    <n v="1"/>
    <n v="7.2499999999999995E-17"/>
    <n v="5.4099999999999996E-26"/>
  </r>
  <r>
    <x v="0"/>
    <s v="Diatraea_SAM_2"/>
    <x v="133"/>
    <n v="-0.114997814"/>
    <n v="-0.76580789500000002"/>
    <n v="-0.28527186548946204"/>
    <n v="-0.88080570899999999"/>
    <n v="0.29301084399999999"/>
    <n v="-1.166077574489462"/>
    <n v="0.23756471277049379"/>
    <n v="-0.119278674"/>
    <n v="-0.95194763900000001"/>
    <n v="-0.3346834104896344"/>
    <n v="-1.0712263129999999"/>
    <n v="0.25516994300000001"/>
    <n v="-1.4059097234896343"/>
    <n v="0.19688000202562725"/>
    <n v="-0.117138244"/>
    <n v="0.27409039400000001"/>
    <n v="-0.97601601100000002"/>
    <n v="-1.2859936489895483"/>
    <n v="0.21722235739806051"/>
    <x v="0"/>
    <n v="9.3399999999999998E-31"/>
    <n v="1"/>
    <n v="1.3500000000000001E-34"/>
    <n v="2.7299999999999999E-32"/>
  </r>
  <r>
    <x v="0"/>
    <s v="Diatraea_SAM_2"/>
    <x v="134"/>
    <n v="-0.82062655100000004"/>
    <n v="-0.76580789500000002"/>
    <n v="-0.28527186548946204"/>
    <n v="-1.5864344459999999"/>
    <n v="0.16988613699999999"/>
    <n v="-1.8717063114894623"/>
    <n v="0.13334441150368689"/>
    <n v="-1.4250761000000001"/>
    <n v="-0.95194763900000001"/>
    <n v="-0.3346834104896344"/>
    <n v="-2.3770237390000002"/>
    <n v="8.4941614999999998E-2"/>
    <n v="-2.7117071494896345"/>
    <n v="6.2286068191530437E-2"/>
    <n v="-1.1228513259999999"/>
    <n v="0.12741387600000001"/>
    <n v="-1.9817290925000002"/>
    <n v="-2.2917067304895484"/>
    <n v="9.7815239847608662E-2"/>
    <x v="0"/>
    <n v="1.49E-36"/>
    <n v="1"/>
    <n v="3.1500000000000001E-40"/>
    <n v="6.1200000000000002E-50"/>
  </r>
  <r>
    <x v="0"/>
    <s v="Diatraea_SAM_2"/>
    <x v="96"/>
    <n v="0.29147037399999998"/>
    <n v="-0.76580789500000002"/>
    <n v="-0.28527186548946204"/>
    <n v="-0.47433752099999998"/>
    <n v="0.38359012599999998"/>
    <n v="-0.75960938648946208"/>
    <n v="0.31873107863878403"/>
    <n v="0.52664193299999995"/>
    <n v="-0.95194763900000001"/>
    <n v="-0.3346834104896344"/>
    <n v="-0.42530570699999998"/>
    <n v="0.39524784099999999"/>
    <n v="-0.75998911648963441"/>
    <n v="0.31864862914353353"/>
    <n v="0.40905615299999998"/>
    <n v="0.389418983"/>
    <n v="-0.44982161399999998"/>
    <n v="-0.75979925148954819"/>
    <n v="0.31868985389115878"/>
    <x v="0"/>
    <n v="0.99982560099999995"/>
    <n v="4.3099999999999999E-24"/>
    <n v="1.1740500000000001E-4"/>
    <n v="5.7000000000000003E-5"/>
  </r>
  <r>
    <x v="0"/>
    <s v="Diatraea_SAM_2"/>
    <x v="99"/>
    <n v="0.18081672900000001"/>
    <n v="-0.76580789500000002"/>
    <n v="-0.28527186548946204"/>
    <n v="-0.58499116600000001"/>
    <n v="0.35778493700000003"/>
    <n v="-0.87026303148946205"/>
    <n v="0.2951995735679217"/>
    <n v="0.46210085099999998"/>
    <n v="-0.95194763900000001"/>
    <n v="-0.3346834104896344"/>
    <n v="-0.48984678799999998"/>
    <n v="0.37992966099999997"/>
    <n v="-0.82453019848963449"/>
    <n v="0.30480287156083413"/>
    <n v="0.32145878999999999"/>
    <n v="0.36885729900000003"/>
    <n v="-0.53741897699999996"/>
    <n v="-0.84739661498954821"/>
    <n v="0.30000122256437789"/>
    <x v="0"/>
    <n v="3.6200000000000002E-16"/>
    <n v="9.8500000000000005E-39"/>
    <n v="6.8399999999999996E-21"/>
    <n v="1"/>
  </r>
  <r>
    <x v="0"/>
    <s v="Diatraea_SAM_2"/>
    <x v="2"/>
    <n v="0.66941418100000005"/>
    <n v="-0.76580789500000002"/>
    <n v="-0.28527186548946204"/>
    <n v="-9.6393714000000005E-2"/>
    <n v="0.47592021400000001"/>
    <n v="-0.381665579489462"/>
    <n v="0.40572524243834351"/>
    <n v="1.521674711"/>
    <n v="-0.95194763900000001"/>
    <n v="-0.3346834104896344"/>
    <n v="0.56972707099999997"/>
    <n v="0.63870019600000005"/>
    <n v="0.23504366151036554"/>
    <n v="0.55849187846412718"/>
    <n v="1.0955444459999999"/>
    <n v="0.55731020499999995"/>
    <n v="0.23666667849999998"/>
    <n v="-7.3310958989548231E-2"/>
    <n v="0.48210856045123535"/>
    <x v="1"/>
    <n v="2E-14"/>
    <n v="2.4500000000000002E-35"/>
    <n v="1.3600000000000001E-12"/>
    <n v="1"/>
  </r>
  <r>
    <x v="0"/>
    <s v="Diatraea_SAM_2"/>
    <x v="3"/>
    <n v="0.32822148200000001"/>
    <n v="-0.76580789500000002"/>
    <n v="-0.28527186548946204"/>
    <n v="-0.43758641300000001"/>
    <n v="0.39231622900000002"/>
    <n v="-0.72285827848946205"/>
    <n v="0.32676388132328543"/>
    <n v="0.71337938899999997"/>
    <n v="-0.95194763900000001"/>
    <n v="-0.3346834104896344"/>
    <n v="-0.23856825100000001"/>
    <n v="0.44063921299999997"/>
    <n v="-0.5732516604896345"/>
    <n v="0.36048686021576054"/>
    <n v="0.52080043499999995"/>
    <n v="0.41647772100000002"/>
    <n v="-0.33807733200000001"/>
    <n v="-0.64805496948954833"/>
    <n v="0.34362537076952299"/>
    <x v="1"/>
    <n v="1.2099999999999999E-16"/>
    <n v="7.3199999999999999E-41"/>
    <n v="4.96E-19"/>
    <n v="1"/>
  </r>
  <r>
    <x v="0"/>
    <s v="Diatraea_SAM_2"/>
    <x v="135"/>
    <n v="-0.157321299"/>
    <n v="-0.76580789500000002"/>
    <n v="-0.28527186548946204"/>
    <n v="-0.92312919299999996"/>
    <n v="0.28432072899999999"/>
    <n v="-1.2084010594894621"/>
    <n v="0.22998408731971098"/>
    <n v="0.152215241"/>
    <n v="-0.95194763900000001"/>
    <n v="-0.3346834104896344"/>
    <n v="-0.79973239799999996"/>
    <n v="0.31008276400000001"/>
    <n v="-1.1344158084896343"/>
    <n v="0.24334710001898868"/>
    <n v="-2.5530290000000001E-3"/>
    <n v="0.29720174700000002"/>
    <n v="-0.86143079550000001"/>
    <n v="-1.1714084339895483"/>
    <n v="0.23666559366934983"/>
    <x v="0"/>
    <n v="1.47E-13"/>
    <n v="7.7E-34"/>
    <n v="2.7799999999999998E-19"/>
    <n v="1"/>
  </r>
  <r>
    <x v="0"/>
    <s v="Diatraea_SAM_24"/>
    <x v="136"/>
    <n v="-0.23791931899999999"/>
    <n v="-0.76580789500000002"/>
    <n v="0.33310825262365334"/>
    <n v="-1.0037272129999999"/>
    <n v="0.26820923800000002"/>
    <n v="-0.67061896137634669"/>
    <n v="0.33835825884758802"/>
    <n v="-0.31170053800000003"/>
    <n v="-0.95194763900000001"/>
    <n v="0.5567754477651996"/>
    <n v="-1.2636481770000001"/>
    <n v="0.22034651799999999"/>
    <n v="-0.70687272923480049"/>
    <n v="0.33029022057865237"/>
    <n v="-0.27480992799999998"/>
    <n v="0.244277878"/>
    <n v="-1.1336876949999999"/>
    <n v="-0.68874584530557359"/>
    <n v="0.3343242397131202"/>
    <x v="0"/>
    <n v="4.19E-17"/>
    <n v="1.14E-43"/>
    <n v="1.02E-21"/>
    <n v="1"/>
  </r>
  <r>
    <x v="0"/>
    <s v="Diatraea_SAM_24"/>
    <x v="137"/>
    <n v="8.0591193000000005E-2"/>
    <n v="-0.76580789500000002"/>
    <n v="0.33310825262365334"/>
    <n v="-0.68521670199999996"/>
    <n v="0.33509798499999999"/>
    <n v="-0.35210844937634661"/>
    <n v="0.4128712211505699"/>
    <n v="0.222510029"/>
    <n v="-0.95194763900000001"/>
    <n v="0.5567754477651996"/>
    <n v="-0.72943760999999996"/>
    <n v="0.32531815200000003"/>
    <n v="-0.17266216223480035"/>
    <n v="0.45694137909215576"/>
    <n v="0.151550611"/>
    <n v="0.33020806899999999"/>
    <n v="-0.70732715599999996"/>
    <n v="-0.26238530580557351"/>
    <n v="0.43490630012136283"/>
    <x v="0"/>
    <n v="0.27559173599999998"/>
    <n v="2.17E-22"/>
    <n v="0.72440152899999999"/>
    <n v="6.7399999999999998E-6"/>
  </r>
  <r>
    <x v="0"/>
    <s v="Diatraea_SAM_24"/>
    <x v="138"/>
    <n v="0.122744254"/>
    <n v="-0.76580789500000002"/>
    <n v="0.33310825262365334"/>
    <n v="-0.64306364100000002"/>
    <n v="0.34455432800000002"/>
    <n v="-0.30995538837634667"/>
    <n v="0.42312562809658888"/>
    <n v="7.8785211999999993E-2"/>
    <n v="-0.95194763900000001"/>
    <n v="0.5567754477651996"/>
    <n v="-0.87316242799999999"/>
    <n v="0.29459669300000002"/>
    <n v="-0.31638697923480041"/>
    <n v="0.42155652016975287"/>
    <n v="0.100764733"/>
    <n v="0.31957551000000001"/>
    <n v="-0.7581130345"/>
    <n v="-0.31317118380557352"/>
    <n v="0.4223410741331709"/>
    <x v="0"/>
    <n v="8.8E-16"/>
    <n v="5.1700000000000005E-35"/>
    <n v="5.6500000000000002E-13"/>
    <n v="1"/>
  </r>
  <r>
    <x v="0"/>
    <s v="Diatraea_SAM_24"/>
    <x v="139"/>
    <n v="-0.13758156599999999"/>
    <n v="-0.76580789500000002"/>
    <n v="0.33310825262365334"/>
    <n v="-0.90338946099999995"/>
    <n v="0.28835446100000001"/>
    <n v="-0.57028120837634666"/>
    <n v="0.36117194001820246"/>
    <n v="-0.43995310100000001"/>
    <n v="-0.95194763900000001"/>
    <n v="0.5567754477651996"/>
    <n v="-1.3919007400000001"/>
    <n v="0.199104488"/>
    <n v="-0.83512529223480048"/>
    <n v="0.3025624459816485"/>
    <n v="-0.28876733300000001"/>
    <n v="0.243729474"/>
    <n v="-1.1476451005000001"/>
    <n v="-0.70270325030557357"/>
    <n v="0.33186719299992551"/>
    <x v="0"/>
    <n v="6.0700000000000001E-18"/>
    <n v="1.1699999999999999E-41"/>
    <n v="1.3800000000000001E-20"/>
    <n v="1"/>
  </r>
  <r>
    <x v="0"/>
    <s v="Diatraea_SAM_24"/>
    <x v="140"/>
    <n v="0.16216322399999999"/>
    <n v="-0.76580789500000002"/>
    <n v="0.33310825262365334"/>
    <n v="-0.60364467099999997"/>
    <n v="0.353510294"/>
    <n v="-0.27053641837634673"/>
    <n v="0.43277540984768514"/>
    <n v="7.8785211999999993E-2"/>
    <n v="-0.95194763900000001"/>
    <n v="0.5567754477651996"/>
    <n v="-0.87316242799999999"/>
    <n v="0.29459669300000002"/>
    <n v="-0.31638697923480041"/>
    <n v="0.42155652016975287"/>
    <n v="0.12047421799999999"/>
    <n v="0.32405349300000003"/>
    <n v="-0.73840354949999998"/>
    <n v="-0.2934616988055736"/>
    <n v="0.42716596500871901"/>
    <x v="0"/>
    <n v="0.99962555399999997"/>
    <n v="4.9599999999999999E-24"/>
    <n v="3.7444600000000001E-4"/>
    <n v="2.4E-10"/>
  </r>
  <r>
    <x v="0"/>
    <s v="Diatraea_SAM_24"/>
    <x v="141"/>
    <n v="-8.0227350000000003E-2"/>
    <n v="-0.76580789500000002"/>
    <n v="0.33310825262365334"/>
    <n v="-0.84603524399999996"/>
    <n v="0.300265216"/>
    <n v="-0.51292699237634665"/>
    <n v="0.37450762124678993"/>
    <n v="0.136536242"/>
    <n v="-0.95194763900000001"/>
    <n v="0.5567754477651996"/>
    <n v="-0.81541139699999998"/>
    <n v="0.30673855999999999"/>
    <n v="-0.25863594923480038"/>
    <n v="0.43569905160277156"/>
    <n v="2.8154446E-2"/>
    <n v="0.303501888"/>
    <n v="-0.83072332049999997"/>
    <n v="-0.38578147080557351"/>
    <n v="0.40510333642478075"/>
    <x v="0"/>
    <n v="0.99973037099999995"/>
    <n v="2.74E-24"/>
    <n v="2.6465599999999999E-4"/>
    <n v="4.9699999999999998E-6"/>
  </r>
  <r>
    <x v="0"/>
    <s v="Diatraea_SAM_24"/>
    <x v="2"/>
    <n v="8.5092578000000002E-2"/>
    <n v="-0.76580789500000002"/>
    <n v="0.33310825262365334"/>
    <n v="-0.68071531699999999"/>
    <n v="0.33610167000000002"/>
    <n v="-0.34760706437634664"/>
    <n v="0.4139628217607248"/>
    <n v="0.30794581399999998"/>
    <n v="-0.95194763900000001"/>
    <n v="0.5567754477651996"/>
    <n v="-0.64400182500000003"/>
    <n v="0.34434248200000001"/>
    <n v="-8.7226377234800423E-2"/>
    <n v="0.47820722136179994"/>
    <n v="0.19651919600000001"/>
    <n v="0.34022207599999998"/>
    <n v="-0.66235857099999995"/>
    <n v="-0.21741672080557353"/>
    <n v="0.4460850215612624"/>
    <x v="1"/>
    <n v="2E-14"/>
    <n v="2.4500000000000002E-35"/>
    <n v="1.3600000000000001E-12"/>
    <n v="1"/>
  </r>
  <r>
    <x v="0"/>
    <s v="Diatraea_SAM_24"/>
    <x v="3"/>
    <n v="6.5049249999999999E-3"/>
    <n v="-0.76580789500000002"/>
    <n v="0.33310825262365334"/>
    <n v="-0.75930297000000002"/>
    <n v="0.318797618"/>
    <n v="-0.42619471737634668"/>
    <n v="0.3950353630550496"/>
    <n v="-0.21851947899999999"/>
    <n v="-0.95194763900000001"/>
    <n v="0.5567754477651996"/>
    <n v="-1.170467119"/>
    <n v="0.23677056099999999"/>
    <n v="-0.61369167023480031"/>
    <n v="0.35121753865775596"/>
    <n v="-0.106007277"/>
    <n v="0.27778408900000001"/>
    <n v="-0.96488504450000001"/>
    <n v="-0.51994319380557352"/>
    <n v="0.37312645085640278"/>
    <x v="1"/>
    <n v="1.2099999999999999E-16"/>
    <n v="7.3199999999999999E-41"/>
    <n v="4.96E-19"/>
    <n v="1"/>
  </r>
  <r>
    <x v="0"/>
    <s v="Diatraea_SAM_24"/>
    <x v="142"/>
    <n v="1.1851482999999999E-2"/>
    <n v="-0.76580789500000002"/>
    <n v="0.33310825262365334"/>
    <n v="-0.75395641099999999"/>
    <n v="0.31995983"/>
    <n v="-0.42084815937634662"/>
    <n v="0.39631381087010359"/>
    <n v="0.16527081299999999"/>
    <n v="-0.95194763900000001"/>
    <n v="0.5567754477651996"/>
    <n v="-0.78667682699999997"/>
    <n v="0.31288266399999998"/>
    <n v="-0.22990137823480039"/>
    <n v="0.44277647776532886"/>
    <n v="8.8561148000000006E-2"/>
    <n v="0.31642124700000002"/>
    <n v="-0.77031661899999992"/>
    <n v="-0.32537476880557348"/>
    <n v="0.41954514431771622"/>
    <x v="0"/>
    <n v="4.76E-15"/>
    <n v="3.0299999999999999E-34"/>
    <n v="2.6099999999999998E-15"/>
    <n v="1"/>
  </r>
  <r>
    <x v="0"/>
    <s v="Diatraea_SAM_3"/>
    <x v="117"/>
    <n v="-7.5591718000000002E-2"/>
    <n v="-0.76580789500000002"/>
    <n v="-4.6251934981351682E-2"/>
    <n v="-0.84139961299999999"/>
    <n v="0.30124009099999999"/>
    <n v="-0.88765154798135171"/>
    <n v="0.29159470313192909"/>
    <n v="-0.50103092100000002"/>
    <n v="-0.95194763900000001"/>
    <n v="-6.1798000111401172E-2"/>
    <n v="-1.45297856"/>
    <n v="0.18954358599999999"/>
    <n v="-1.5147765601114012"/>
    <n v="0.18023198572919294"/>
    <n v="-0.28831131900000001"/>
    <n v="0.245391839"/>
    <n v="-1.1471890865000001"/>
    <n v="-1.2012140540463765"/>
    <n v="0.235913344430561"/>
    <x v="1"/>
    <n v="9.8699999999999998E-15"/>
    <n v="8.3700000000000005E-36"/>
    <n v="1.17E-20"/>
    <n v="1"/>
  </r>
  <r>
    <x v="0"/>
    <s v="Diatraea_SAM_3"/>
    <x v="136"/>
    <n v="-0.15911761499999999"/>
    <n v="-0.76580789500000002"/>
    <n v="-4.6251934981351682E-2"/>
    <n v="-0.92492551000000001"/>
    <n v="0.28395535199999999"/>
    <n v="-0.97117744498135172"/>
    <n v="0.27464587466861551"/>
    <n v="1.7529119999999999E-3"/>
    <n v="-0.95194763900000001"/>
    <n v="-6.1798000111401172E-2"/>
    <n v="-0.95019472800000004"/>
    <n v="0.27884566199999999"/>
    <n v="-1.0119927271114011"/>
    <n v="0.26659005198737656"/>
    <n v="-7.8682351999999997E-2"/>
    <n v="0.28140050700000002"/>
    <n v="-0.93756011900000003"/>
    <n v="-0.99158508604637641"/>
    <n v="0.27061796332799604"/>
    <x v="1"/>
    <n v="4.19E-17"/>
    <n v="1.14E-43"/>
    <n v="1.02E-21"/>
    <n v="1"/>
  </r>
  <r>
    <x v="0"/>
    <s v="Diatraea_SAM_3"/>
    <x v="137"/>
    <n v="0.25650816700000001"/>
    <n v="-0.76580789500000002"/>
    <n v="-4.6251934981351682E-2"/>
    <n v="-0.50929972800000001"/>
    <n v="0.37535770000000002"/>
    <n v="-0.55555166298135172"/>
    <n v="0.36457734249764373"/>
    <n v="0.42317601500000002"/>
    <n v="-0.95194763900000001"/>
    <n v="-6.1798000111401172E-2"/>
    <n v="-0.52877162499999997"/>
    <n v="0.37080343300000002"/>
    <n v="-0.59056962411140113"/>
    <n v="0.35650416675998053"/>
    <n v="0.33984209100000001"/>
    <n v="0.373080566"/>
    <n v="-0.51903567649999993"/>
    <n v="-0.57306064354637642"/>
    <n v="0.36054075462881213"/>
    <x v="1"/>
    <n v="0.27559173599999998"/>
    <n v="2.17E-22"/>
    <n v="0.72440152899999999"/>
    <n v="6.7399999999999998E-6"/>
  </r>
  <r>
    <x v="0"/>
    <s v="Diatraea_SAM_3"/>
    <x v="118"/>
    <n v="-4.7692806999999997E-2"/>
    <n v="-0.76580789500000002"/>
    <n v="-4.6251934981351682E-2"/>
    <n v="-0.81350070200000002"/>
    <n v="0.30714501999999999"/>
    <n v="-0.85975263698135174"/>
    <n v="0.29739102946977047"/>
    <n v="-0.25496924599999998"/>
    <n v="-0.95194763900000001"/>
    <n v="-6.1798000111401172E-2"/>
    <n v="-1.2069168850000001"/>
    <n v="0.23024702699999999"/>
    <n v="-1.2687148851114012"/>
    <n v="0.21947732193258829"/>
    <n v="-0.15133102600000001"/>
    <n v="0.26869602300000001"/>
    <n v="-1.0102087934999999"/>
    <n v="-1.0642337610463763"/>
    <n v="0.25843417570117938"/>
    <x v="1"/>
    <n v="1.9700000000000001E-15"/>
    <n v="3.0999999999999998E-38"/>
    <n v="8.5700000000000007E-21"/>
    <n v="1"/>
  </r>
  <r>
    <x v="0"/>
    <s v="Diatraea_SAM_3"/>
    <x v="119"/>
    <n v="-9.3682549000000004E-2"/>
    <n v="-0.76580789500000002"/>
    <n v="-4.6251934981351682E-2"/>
    <n v="-0.85949044299999999"/>
    <n v="0.29744581799999997"/>
    <n v="-0.90574237898135168"/>
    <n v="0.2878718677036165"/>
    <n v="0.104278731"/>
    <n v="-0.95194763900000001"/>
    <n v="-6.1798000111401172E-2"/>
    <n v="-0.84766890800000005"/>
    <n v="0.29992208599999998"/>
    <n v="-0.90946690811140118"/>
    <n v="0.28710893672252896"/>
    <n v="5.2980910000000004E-3"/>
    <n v="0.29868395199999997"/>
    <n v="-0.85357967550000002"/>
    <n v="-0.90760464354637649"/>
    <n v="0.28749040221307276"/>
    <x v="1"/>
    <n v="6.2000000000000002E-12"/>
    <n v="5.5799999999999998E-33"/>
    <n v="1.41E-17"/>
    <n v="1"/>
  </r>
  <r>
    <x v="0"/>
    <s v="Diatraea_SAM_3"/>
    <x v="121"/>
    <n v="-0.13412032900000001"/>
    <n v="-0.76580789500000002"/>
    <n v="-4.6251934981351682E-2"/>
    <n v="-0.89992822400000005"/>
    <n v="0.289065248"/>
    <n v="-0.94618015898135177"/>
    <n v="0.27965367131721824"/>
    <n v="-0.25496924599999998"/>
    <n v="-0.95194763900000001"/>
    <n v="-6.1798000111401172E-2"/>
    <n v="-1.2069168850000001"/>
    <n v="0.23024702699999999"/>
    <n v="-1.2687148851114012"/>
    <n v="0.21947732193258829"/>
    <n v="-0.194544787"/>
    <n v="0.25965613700000001"/>
    <n v="-1.0534225545"/>
    <n v="-1.1074475220463764"/>
    <n v="0.24956549662490327"/>
    <x v="1"/>
    <n v="2.7499999999999999E-11"/>
    <n v="2.3400000000000001E-36"/>
    <n v="7.6500000000000002E-14"/>
    <n v="1"/>
  </r>
  <r>
    <x v="0"/>
    <s v="Diatraea_SAM_3"/>
    <x v="64"/>
    <n v="0.276845866"/>
    <n v="-0.76580789500000002"/>
    <n v="-4.6251934981351682E-2"/>
    <n v="-0.48896202900000002"/>
    <n v="0.38013811800000002"/>
    <n v="-0.53521396398135168"/>
    <n v="0.36930163690610646"/>
    <n v="0.513763415"/>
    <n v="-0.95194763900000001"/>
    <n v="-6.1798000111401172E-2"/>
    <n v="-0.43818422400000001"/>
    <n v="0.39217371699999998"/>
    <n v="-0.4999822241114012"/>
    <n v="0.37754484620704726"/>
    <n v="0.39530463999999998"/>
    <n v="0.38615591700000002"/>
    <n v="-0.46357312650000004"/>
    <n v="-0.51759809404637647"/>
    <n v="0.37342324155657686"/>
    <x v="1"/>
    <n v="0.999845023"/>
    <n v="9.4999999999999994E-22"/>
    <n v="1.5497699999999999E-4"/>
    <n v="4.6999999999999999E-11"/>
  </r>
  <r>
    <x v="0"/>
    <s v="Diatraea_SAM_3"/>
    <x v="122"/>
    <n v="-0.171285092"/>
    <n v="-0.76580789500000002"/>
    <n v="-4.6251934981351682E-2"/>
    <n v="-0.93709298699999999"/>
    <n v="0.28148791899999998"/>
    <n v="-0.98334492198135171"/>
    <n v="0.2722285824495258"/>
    <n v="0.36168415199999998"/>
    <n v="-0.95194763900000001"/>
    <n v="-6.1798000111401172E-2"/>
    <n v="-0.59026348699999998"/>
    <n v="0.35657440000000001"/>
    <n v="-0.65206148711140122"/>
    <n v="0.34252513639670357"/>
    <n v="9.5199530000000004E-2"/>
    <n v="0.31903115999999998"/>
    <n v="-0.76367823699999993"/>
    <n v="-0.81770320454637646"/>
    <n v="0.30737685942311466"/>
    <x v="1"/>
    <n v="2.41E-12"/>
    <n v="6.8000000000000001E-33"/>
    <n v="3.4100000000000002E-16"/>
    <n v="1"/>
  </r>
  <r>
    <x v="0"/>
    <s v="Diatraea_SAM_3"/>
    <x v="123"/>
    <n v="6.6539592999999994E-2"/>
    <n v="-0.76580789500000002"/>
    <n v="-4.6251934981351682E-2"/>
    <n v="-0.69926830100000004"/>
    <n v="0.33197447499999999"/>
    <n v="-0.74552023698135172"/>
    <n v="0.32179820126248204"/>
    <n v="7.0527592E-2"/>
    <n v="-0.95194763900000001"/>
    <n v="-6.1798000111401172E-2"/>
    <n v="-0.88142004699999998"/>
    <n v="0.292883597"/>
    <n v="-0.94321804711140111"/>
    <n v="0.28025077061906412"/>
    <n v="6.8533593000000004E-2"/>
    <n v="0.31242903599999999"/>
    <n v="-0.79034417400000001"/>
    <n v="-0.84436914204637636"/>
    <n v="0.30102448594077308"/>
    <x v="1"/>
    <n v="0.99951634899999997"/>
    <n v="3.8299999999999998E-24"/>
    <n v="4.8347599999999999E-4"/>
    <n v="1.7499999999999999E-7"/>
  </r>
  <r>
    <x v="0"/>
    <s v="Diatraea_SAM_3"/>
    <x v="112"/>
    <n v="0.16376407700000001"/>
    <n v="-0.76580789500000002"/>
    <n v="-4.6251934981351682E-2"/>
    <n v="-0.60204381799999995"/>
    <n v="0.35387624000000001"/>
    <n v="-0.64829575298135178"/>
    <n v="0.34337368819716918"/>
    <n v="-0.14156353499999999"/>
    <n v="-0.95194763900000001"/>
    <n v="-6.1798000111401172E-2"/>
    <n v="-1.0935111740000001"/>
    <n v="0.25095767800000002"/>
    <n v="-1.1553091741114012"/>
    <n v="0.23952067725010129"/>
    <n v="1.1100271E-2"/>
    <n v="0.30241695899999999"/>
    <n v="-0.84777749599999996"/>
    <n v="-0.9018024635463765"/>
    <n v="0.29144718272363523"/>
    <x v="1"/>
    <n v="0.99980597199999999"/>
    <n v="4.4699999999999998E-22"/>
    <n v="5.0500000000000001E-5"/>
    <n v="1.4349E-4"/>
  </r>
  <r>
    <x v="0"/>
    <s v="Diatraea_SAM_3"/>
    <x v="69"/>
    <n v="-0.285569505"/>
    <n v="-0.76580789500000002"/>
    <n v="-4.6251934981351682E-2"/>
    <n v="-1.0513774"/>
    <n v="0.25896068999999999"/>
    <n v="-1.0976293349813517"/>
    <n v="0.25018434910308157"/>
    <n v="-0.25496924599999998"/>
    <n v="-0.95194763900000001"/>
    <n v="-6.1798000111401172E-2"/>
    <n v="-1.2069168850000001"/>
    <n v="0.23024702699999999"/>
    <n v="-1.2687148851114012"/>
    <n v="0.21947732193258829"/>
    <n v="-0.27026937499999998"/>
    <n v="0.24460385900000001"/>
    <n v="-1.1291471424999999"/>
    <n v="-1.1831721100463763"/>
    <n v="0.23483083551783493"/>
    <x v="1"/>
    <n v="2.0999999999999999E-17"/>
    <n v="1.95E-37"/>
    <n v="6.3499999999999999E-23"/>
    <n v="1"/>
  </r>
  <r>
    <x v="0"/>
    <s v="Diatraea_SAM_3"/>
    <x v="2"/>
    <n v="0.13051811999999999"/>
    <n v="-0.76580789500000002"/>
    <n v="-4.6251934981351682E-2"/>
    <n v="-0.63528977499999995"/>
    <n v="0.346312067"/>
    <n v="-0.68154170998135177"/>
    <n v="0.33591729580988955"/>
    <n v="0.29917834900000001"/>
    <n v="-0.95194763900000001"/>
    <n v="-6.1798000111401172E-2"/>
    <n v="-0.65276928999999995"/>
    <n v="0.34236575600000002"/>
    <n v="-0.71456729011140108"/>
    <n v="0.32859042261068089"/>
    <n v="0.214848234"/>
    <n v="0.34433891100000003"/>
    <n v="-0.64402953249999995"/>
    <n v="-0.69805450004637648"/>
    <n v="0.33225385921028522"/>
    <x v="1"/>
    <n v="2E-14"/>
    <n v="2.4500000000000002E-35"/>
    <n v="1.3600000000000001E-12"/>
    <n v="1"/>
  </r>
  <r>
    <x v="0"/>
    <s v="Diatraea_SAM_3"/>
    <x v="3"/>
    <n v="8.0000468000000005E-2"/>
    <n v="-0.76580789500000002"/>
    <n v="-4.6251934981351682E-2"/>
    <n v="-0.68580742699999997"/>
    <n v="0.33496638000000001"/>
    <n v="-0.73205936198135169"/>
    <n v="0.32474297739007396"/>
    <n v="0.17061652099999999"/>
    <n v="-0.95194763900000001"/>
    <n v="-6.1798000111401172E-2"/>
    <n v="-0.78133111799999999"/>
    <n v="0.314033071"/>
    <n v="-0.84312911811140112"/>
    <n v="0.30087616511036291"/>
    <n v="0.12530849499999999"/>
    <n v="0.32449972500000002"/>
    <n v="-0.73356927250000004"/>
    <n v="-0.78759424004637646"/>
    <n v="0.31280957125021847"/>
    <x v="1"/>
    <n v="1.2099999999999999E-16"/>
    <n v="7.3199999999999999E-41"/>
    <n v="4.96E-19"/>
    <n v="1"/>
  </r>
  <r>
    <x v="0"/>
    <s v="Diatraea_SAM_3"/>
    <x v="113"/>
    <n v="-6.0029209999999996E-3"/>
    <n v="-0.76580789500000002"/>
    <n v="-4.6251934981351682E-2"/>
    <n v="-0.77181081600000001"/>
    <n v="0.31608752099999998"/>
    <n v="-0.81806275098135173"/>
    <n v="0.30617503875538954"/>
    <n v="-0.50103092100000002"/>
    <n v="-0.95194763900000001"/>
    <n v="-6.1798000111401172E-2"/>
    <n v="-1.45297856"/>
    <n v="0.18954358599999999"/>
    <n v="-1.5147765601114012"/>
    <n v="0.18023198572919294"/>
    <n v="-0.25351692100000001"/>
    <n v="0.25281555300000003"/>
    <n v="-1.112394688"/>
    <n v="-1.1664196555463764"/>
    <n v="0.24320351224229125"/>
    <x v="1"/>
    <n v="9.3600000000000005E-13"/>
    <n v="1.95E-18"/>
    <n v="9.6399999999999999E-17"/>
    <n v="1"/>
  </r>
  <r>
    <x v="0"/>
    <s v="Diatraea_SAM_3"/>
    <x v="114"/>
    <n v="0.23692965799999999"/>
    <n v="-0.76580789500000002"/>
    <n v="-4.6251934981351682E-2"/>
    <n v="-0.52887823700000003"/>
    <n v="0.37077855900000001"/>
    <n v="-0.57513017198135175"/>
    <n v="0.36005390912688995"/>
    <n v="0.104278731"/>
    <n v="-0.95194763900000001"/>
    <n v="-6.1798000111401172E-2"/>
    <n v="-0.84766890800000005"/>
    <n v="0.29992208599999998"/>
    <n v="-0.90946690811140118"/>
    <n v="0.28710893672252896"/>
    <n v="0.17060419399999999"/>
    <n v="0.33535032300000001"/>
    <n v="-0.68827357249999999"/>
    <n v="-0.74229854004637641"/>
    <n v="0.32358142292470948"/>
    <x v="1"/>
    <n v="7.9300000000000005E-31"/>
    <n v="1"/>
    <n v="3.6400000000000002E-34"/>
    <n v="7.11E-49"/>
  </r>
  <r>
    <x v="0"/>
    <s v="Diatraea_SAM_3"/>
    <x v="129"/>
    <n v="-0.19626861000000001"/>
    <n v="-0.76580789500000002"/>
    <n v="-4.6251934981351682E-2"/>
    <n v="-0.96207650499999997"/>
    <n v="0.27646263700000001"/>
    <n v="-1.0083284399813517"/>
    <n v="0.26730710513981143"/>
    <n v="-3.3317118E-2"/>
    <n v="-0.95194763900000001"/>
    <n v="-6.1798000111401172E-2"/>
    <n v="-0.98526475700000005"/>
    <n v="0.27184839100000002"/>
    <n v="-1.0470627571114013"/>
    <n v="0.25978953084089701"/>
    <n v="-0.11479286399999999"/>
    <n v="0.27415551399999999"/>
    <n v="-0.97367063100000006"/>
    <n v="-1.0276955985463765"/>
    <n v="0.26354831799035422"/>
    <x v="1"/>
    <n v="4.4299999999999998E-14"/>
    <n v="3.6399999999999998E-32"/>
    <n v="7.9800000000000001E-19"/>
    <n v="1"/>
  </r>
  <r>
    <x v="0"/>
    <s v="Diatraea_SAM_4"/>
    <x v="143"/>
    <n v="2.6640130000000001E-2"/>
    <n v="-0.76580789500000002"/>
    <n v="6.292627996845801E-2"/>
    <n v="-0.73916776500000003"/>
    <n v="0.323186158"/>
    <n v="-0.67624148503154202"/>
    <n v="0.33710067977116731"/>
    <n v="3.0320770000000002E-3"/>
    <n v="-0.95194763900000001"/>
    <n v="0.54289824242765494"/>
    <n v="-0.94891556300000002"/>
    <n v="0.27910296299999998"/>
    <n v="-0.4060173195723451"/>
    <n v="0.39986747657005994"/>
    <n v="1.4836103E-2"/>
    <n v="0.30114456000000001"/>
    <n v="-0.84404166400000002"/>
    <n v="-0.54112940230194351"/>
    <n v="0.36848407817061363"/>
    <x v="0"/>
    <n v="0.99678058400000003"/>
    <n v="2.3822639999999998E-3"/>
    <n v="8.3715199999999997E-4"/>
    <n v="2.5200000000000001E-10"/>
  </r>
  <r>
    <x v="0"/>
    <s v="Diatraea_SAM_4"/>
    <x v="144"/>
    <n v="-0.20319661"/>
    <n v="-0.76580789500000002"/>
    <n v="6.292627996845801E-2"/>
    <n v="-0.96900450500000002"/>
    <n v="0.27507896999999998"/>
    <n v="-0.90607822503154201"/>
    <n v="0.28780302361260329"/>
    <n v="-0.52834969799999998"/>
    <n v="-0.95194763900000001"/>
    <n v="0.54289824242765494"/>
    <n v="-1.4802973370000001"/>
    <n v="0.185382512"/>
    <n v="-0.93739909457234516"/>
    <n v="0.28142601262076855"/>
    <n v="-0.36577315399999999"/>
    <n v="0.23023074099999999"/>
    <n v="-1.2246509210000001"/>
    <n v="-0.92173865980194358"/>
    <n v="0.28461451811668592"/>
    <x v="0"/>
    <n v="5.34E-15"/>
    <n v="6.9900000000000006E-39"/>
    <n v="4.93E-18"/>
    <n v="1"/>
  </r>
  <r>
    <x v="0"/>
    <s v="Diatraea_SAM_4"/>
    <x v="145"/>
    <n v="0.160403925"/>
    <n v="-0.76580789500000002"/>
    <n v="6.292627996845801E-2"/>
    <n v="-0.60540397000000001"/>
    <n v="0.35310832599999997"/>
    <n v="-0.542477690031542"/>
    <n v="0.3676113968861664"/>
    <n v="0.46167994800000001"/>
    <n v="-0.95194763900000001"/>
    <n v="0.54289824242765494"/>
    <n v="-0.49026769199999998"/>
    <n v="0.37983050800000001"/>
    <n v="5.2630551427654937E-2"/>
    <n v="0.51315460150404146"/>
    <n v="0.31104193600000002"/>
    <n v="0.36646941700000002"/>
    <n v="-0.547835831"/>
    <n v="-0.24492356930194353"/>
    <n v="0.44038299919510393"/>
    <x v="0"/>
    <n v="3.1700000000000002E-17"/>
    <n v="3.7800000000000002E-41"/>
    <n v="5.0199999999999999E-22"/>
    <n v="1"/>
  </r>
  <r>
    <x v="0"/>
    <s v="Diatraea_SAM_4"/>
    <x v="146"/>
    <n v="0.221510233"/>
    <n v="-0.76580789500000002"/>
    <n v="6.292627996845801E-2"/>
    <n v="-0.54429766199999996"/>
    <n v="0.36718840400000002"/>
    <n v="-0.48137138203154195"/>
    <n v="0.38192834566788492"/>
    <n v="0.23430886100000001"/>
    <n v="-0.95194763900000001"/>
    <n v="0.54289824242765494"/>
    <n v="-0.71763877799999998"/>
    <n v="0.32791315199999999"/>
    <n v="-0.17474053557234503"/>
    <n v="0.45642568549114904"/>
    <n v="0.22790954699999999"/>
    <n v="0.347550778"/>
    <n v="-0.63096821999999997"/>
    <n v="-0.32805595880194349"/>
    <n v="0.41917701557951698"/>
    <x v="0"/>
    <n v="3.9900000000000003E-18"/>
    <n v="1.2099999999999999E-37"/>
    <n v="4.8499999999999999E-24"/>
    <n v="1"/>
  </r>
  <r>
    <x v="0"/>
    <s v="Diatraea_SAM_4"/>
    <x v="147"/>
    <n v="3.1741569999999999E-3"/>
    <n v="-0.76580789500000002"/>
    <n v="6.292627996845801E-2"/>
    <n v="-0.76263373700000003"/>
    <n v="0.318074727"/>
    <n v="-0.699707458031542"/>
    <n v="0.33187709134317028"/>
    <n v="-0.14592419400000001"/>
    <n v="-0.95194763900000001"/>
    <n v="0.54289824242765494"/>
    <n v="-1.097871834"/>
    <n v="0.25013886099999999"/>
    <n v="-0.55497359057234519"/>
    <n v="0.36471126963941825"/>
    <n v="-7.1375018999999998E-2"/>
    <n v="0.284106794"/>
    <n v="-0.93025278550000001"/>
    <n v="-0.62734052430194365"/>
    <n v="0.34829418049129424"/>
    <x v="0"/>
    <n v="5.2399999999999999E-15"/>
    <n v="1.7200000000000001E-37"/>
    <n v="1.2900000000000001E-17"/>
    <n v="1"/>
  </r>
  <r>
    <x v="0"/>
    <s v="Diatraea_SAM_4"/>
    <x v="148"/>
    <n v="-0.31888793700000001"/>
    <n v="-0.76580789500000002"/>
    <n v="6.292627996845801E-2"/>
    <n v="-1.0846958310000001"/>
    <n v="0.25261840299999999"/>
    <n v="-1.021769552031542"/>
    <n v="0.26468285659911039"/>
    <n v="-0.77702582799999997"/>
    <n v="-0.95194763900000001"/>
    <n v="0.54289824242765494"/>
    <n v="-1.7289734670000001"/>
    <n v="0.150718932"/>
    <n v="-1.1860752245723449"/>
    <n v="0.23396161346556091"/>
    <n v="-0.54795688200000003"/>
    <n v="0.201668667"/>
    <n v="-1.4068346490000001"/>
    <n v="-1.1039223883019433"/>
    <n v="0.24932223503233564"/>
    <x v="0"/>
    <n v="7.6299999999999997E-15"/>
    <n v="1.5499999999999999E-36"/>
    <n v="1.6999999999999999E-20"/>
    <n v="1"/>
  </r>
  <r>
    <x v="0"/>
    <s v="Diatraea_SAM_4"/>
    <x v="149"/>
    <n v="7.2930755E-2"/>
    <n v="-0.76580789500000002"/>
    <n v="6.292627996845801E-2"/>
    <n v="-0.69287714"/>
    <n v="0.33339334500000001"/>
    <n v="-0.62995086003154199"/>
    <n v="0.34752168022940211"/>
    <n v="0.29131643800000001"/>
    <n v="-0.95194763900000001"/>
    <n v="0.54289824242765494"/>
    <n v="-0.66063120099999995"/>
    <n v="0.34059783500000002"/>
    <n v="-0.117732958572345"/>
    <n v="0.47060071126422315"/>
    <n v="0.182123597"/>
    <n v="0.33699559000000001"/>
    <n v="-0.67675417049999997"/>
    <n v="-0.3738419093019435"/>
    <n v="0.40906119574681266"/>
    <x v="0"/>
    <n v="0.97510384900000002"/>
    <n v="2.7599999999999998E-7"/>
    <n v="2.4895875000000001E-2"/>
    <n v="2.16E-10"/>
  </r>
  <r>
    <x v="0"/>
    <s v="Diatraea_SAM_4"/>
    <x v="150"/>
    <n v="-7.9113620999999995E-2"/>
    <n v="-0.76580789500000002"/>
    <n v="6.292627996845801E-2"/>
    <n v="-0.84492151500000001"/>
    <n v="0.30049926999999999"/>
    <n v="-0.78199523603154197"/>
    <n v="0.3138900264105855"/>
    <n v="-0.23769961000000001"/>
    <n v="-0.95194763900000001"/>
    <n v="0.54289824242765494"/>
    <n v="-1.1896472490000001"/>
    <n v="0.23332203100000001"/>
    <n v="-0.64674900657234513"/>
    <n v="0.34372251476106025"/>
    <n v="-0.158406615"/>
    <n v="0.26691065000000003"/>
    <n v="-1.0172843820000002"/>
    <n v="-0.71437212130194361"/>
    <n v="0.3288062705858229"/>
    <x v="0"/>
    <n v="0.43326408399999999"/>
    <n v="1.9999999999999998E-21"/>
    <n v="0.56673518599999995"/>
    <n v="7.3099999999999997E-7"/>
  </r>
  <r>
    <x v="0"/>
    <s v="Diatraea_SAM_4"/>
    <x v="151"/>
    <n v="-0.17484967200000001"/>
    <n v="-0.76580789500000002"/>
    <n v="6.292627996845801E-2"/>
    <n v="-0.94065756700000003"/>
    <n v="0.28076753599999998"/>
    <n v="-0.87773128703154202"/>
    <n v="0.29364813247086735"/>
    <n v="0.46167994800000001"/>
    <n v="-0.95194763900000001"/>
    <n v="0.54289824242765494"/>
    <n v="-0.49026769199999998"/>
    <n v="0.37983050800000001"/>
    <n v="5.2630551427654937E-2"/>
    <n v="0.51315460150404146"/>
    <n v="0.143415138"/>
    <n v="0.330299022"/>
    <n v="-0.71546262949999995"/>
    <n v="-0.41255036780194354"/>
    <n v="0.40340136698745443"/>
    <x v="0"/>
    <n v="0.99879931399999999"/>
    <n v="1.9599999999999999E-22"/>
    <n v="6.3089500000000002E-4"/>
    <n v="5.6979000000000003E-4"/>
  </r>
  <r>
    <x v="0"/>
    <s v="Diatraea_SAM_4"/>
    <x v="2"/>
    <n v="0.439391015"/>
    <n v="-0.76580789500000002"/>
    <n v="6.292627996845801E-2"/>
    <n v="-0.32641688000000002"/>
    <n v="0.419112706"/>
    <n v="-0.26349060003154201"/>
    <n v="0.43450583581692304"/>
    <n v="0.66141295300000003"/>
    <n v="-0.95194763900000001"/>
    <n v="0.54289824242765494"/>
    <n v="-0.29053468700000001"/>
    <n v="0.42787297200000002"/>
    <n v="0.25236355642765496"/>
    <n v="0.56275816692804737"/>
    <n v="0.55040198399999996"/>
    <n v="0.42349283900000001"/>
    <n v="-0.30847578350000004"/>
    <n v="-5.5635218019435273E-3"/>
    <n v="0.4986320013724852"/>
    <x v="1"/>
    <n v="2E-14"/>
    <n v="2.4500000000000002E-35"/>
    <n v="1.3600000000000001E-12"/>
    <n v="1"/>
  </r>
  <r>
    <x v="0"/>
    <s v="Diatraea_SAM_4"/>
    <x v="3"/>
    <n v="0.35787358800000002"/>
    <n v="-0.76580789500000002"/>
    <n v="6.292627996845801E-2"/>
    <n v="-0.40793430600000002"/>
    <n v="0.39940753899999998"/>
    <n v="-0.34500802703154199"/>
    <n v="0.41459348266267493"/>
    <n v="0.26283786399999998"/>
    <n v="-0.95194763900000001"/>
    <n v="0.54289824242765494"/>
    <n v="-0.68910977500000004"/>
    <n v="0.33423113700000001"/>
    <n v="-0.14621153257234509"/>
    <n v="0.46351209633797436"/>
    <n v="0.310355726"/>
    <n v="0.36681933799999999"/>
    <n v="-0.54852204049999997"/>
    <n v="-0.24560977980194354"/>
    <n v="0.43905278950032467"/>
    <x v="1"/>
    <n v="1.2099999999999999E-16"/>
    <n v="7.3199999999999999E-41"/>
    <n v="4.96E-19"/>
    <n v="1"/>
  </r>
  <r>
    <x v="0"/>
    <s v="Diatraea_SAM_4"/>
    <x v="152"/>
    <n v="-4.7352245000000001E-2"/>
    <n v="-0.76580789500000002"/>
    <n v="6.292627996845801E-2"/>
    <n v="-0.81316014000000003"/>
    <n v="0.30721749799999998"/>
    <n v="-0.75023386003154202"/>
    <n v="0.32077034602987059"/>
    <n v="0.14831862500000001"/>
    <n v="-0.95194763900000001"/>
    <n v="0.54289824242765494"/>
    <n v="-0.80362901399999997"/>
    <n v="0.30924977300000001"/>
    <n v="-0.26073077157234503"/>
    <n v="0.43518407685082394"/>
    <n v="5.0483189999999997E-2"/>
    <n v="0.30823363599999998"/>
    <n v="-0.80839457700000006"/>
    <n v="-0.50548231580194347"/>
    <n v="0.37797721144034724"/>
    <x v="0"/>
    <n v="1.0200000000000001E-16"/>
    <n v="2.31E-36"/>
    <n v="2.8600000000000001E-19"/>
    <n v="1"/>
  </r>
  <r>
    <x v="0"/>
    <s v="Diatraea_SAM_4"/>
    <x v="153"/>
    <n v="-0.20631037899999999"/>
    <n v="-0.76580789500000002"/>
    <n v="6.292627996845801E-2"/>
    <n v="-0.97211827399999995"/>
    <n v="0.27445848699999997"/>
    <n v="-0.90919199403154205"/>
    <n v="0.28716520871335427"/>
    <n v="0.17705942599999999"/>
    <n v="-0.95194763900000001"/>
    <n v="0.54289824242765494"/>
    <n v="-0.77488821299999999"/>
    <n v="0.31542263700000001"/>
    <n v="-0.23198997057234505"/>
    <n v="0.44226123061023132"/>
    <n v="-1.4625477E-2"/>
    <n v="0.29494056200000002"/>
    <n v="-0.87350324349999997"/>
    <n v="-0.57059098230194349"/>
    <n v="0.36471321966179282"/>
    <x v="0"/>
    <n v="1.59E-15"/>
    <n v="3.52E-36"/>
    <n v="1.74E-18"/>
    <n v="1"/>
  </r>
  <r>
    <x v="0"/>
    <s v="Diatraea_SAM_4"/>
    <x v="154"/>
    <n v="-0.273534363"/>
    <n v="-0.76580789500000002"/>
    <n v="6.292627996845801E-2"/>
    <n v="-1.039342258"/>
    <n v="0.26127692600000002"/>
    <n v="-0.97641597803154201"/>
    <n v="0.2736035105131458"/>
    <n v="-0.30011369700000001"/>
    <n v="-0.95194763900000001"/>
    <n v="0.54289824242765494"/>
    <n v="-1.2520613359999999"/>
    <n v="0.22234351599999999"/>
    <n v="-0.70916309357234519"/>
    <n v="0.32978379228349802"/>
    <n v="-0.28682403000000001"/>
    <n v="0.24181022099999999"/>
    <n v="-1.1457017970000001"/>
    <n v="-0.8427895358019436"/>
    <n v="0.30169365139832194"/>
    <x v="0"/>
    <n v="4.31E-16"/>
    <n v="2.77E-36"/>
    <n v="9.1399999999999991E-19"/>
    <n v="1"/>
  </r>
  <r>
    <x v="0"/>
    <s v="Diatraea_SAM_4"/>
    <x v="155"/>
    <n v="7.3523195E-2"/>
    <n v="-0.76580789500000002"/>
    <n v="6.292627996845801E-2"/>
    <n v="-0.69228469999999998"/>
    <n v="0.33352502299999998"/>
    <n v="-0.62935842003154197"/>
    <n v="0.34765602834617298"/>
    <n v="-0.39589008399999998"/>
    <n v="-0.95194763900000001"/>
    <n v="0.54289824242765494"/>
    <n v="-1.347837723"/>
    <n v="0.20622410199999999"/>
    <n v="-0.8049394805723451"/>
    <n v="0.30896990878684805"/>
    <n v="-0.16118344500000001"/>
    <n v="0.26987456300000001"/>
    <n v="-1.0200612115000001"/>
    <n v="-0.71714895030194348"/>
    <n v="0.32831296856651049"/>
    <x v="0"/>
    <n v="2.9999999999999998E-18"/>
    <n v="1.33E-40"/>
    <n v="2.2799999999999999E-21"/>
    <n v="1"/>
  </r>
  <r>
    <x v="0"/>
    <s v="Diatraea_SAM_4"/>
    <x v="156"/>
    <n v="-1.5108013999999999E-2"/>
    <n v="-0.76580789500000002"/>
    <n v="6.292627996845801E-2"/>
    <n v="-0.78091590899999996"/>
    <n v="0.31412252000000002"/>
    <n v="-0.71798962903154195"/>
    <n v="0.32783583384746506"/>
    <n v="-0.26877368299999999"/>
    <n v="-0.95194763900000001"/>
    <n v="0.54289824242765494"/>
    <n v="-1.2207213219999999"/>
    <n v="0.22780953600000001"/>
    <n v="-0.677823079572345"/>
    <n v="0.33674734173478582"/>
    <n v="-0.14194084800000001"/>
    <n v="0.27096602800000003"/>
    <n v="-1.0008186155000001"/>
    <n v="-0.69790635430194348"/>
    <n v="0.33229158779112544"/>
    <x v="0"/>
    <n v="1.2500000000000001E-16"/>
    <n v="1.08E-38"/>
    <n v="1.8000000000000001E-18"/>
    <n v="1"/>
  </r>
  <r>
    <x v="0"/>
    <s v="Diatraea_SAM_5"/>
    <x v="157"/>
    <n v="0.101608043"/>
    <n v="-0.76580789500000002"/>
    <n v="0.30158677788175303"/>
    <n v="-0.66419985100000001"/>
    <n v="0.33979680499999998"/>
    <n v="-0.36261307411824695"/>
    <n v="0.41032716188394236"/>
    <n v="-7.6298357999999997E-2"/>
    <n v="-0.95194763900000001"/>
    <n v="0.31251975382699121"/>
    <n v="-1.028245997"/>
    <n v="0.26342429499999997"/>
    <n v="-0.7157262431730087"/>
    <n v="0.32833478663920834"/>
    <n v="1.2654843000000001E-2"/>
    <n v="0.30161054999999998"/>
    <n v="-0.84622292399999999"/>
    <n v="-0.53916965864562783"/>
    <n v="0.36933097426157535"/>
    <x v="0"/>
    <n v="0.99997856299999999"/>
    <n v="2.5899999999999999E-23"/>
    <n v="2.0800000000000001E-5"/>
    <n v="6.3099999999999997E-7"/>
  </r>
  <r>
    <x v="0"/>
    <s v="Diatraea_SAM_5"/>
    <x v="158"/>
    <n v="-0.14272987100000001"/>
    <n v="-0.76580789500000002"/>
    <n v="0.30158677788175303"/>
    <n v="-0.90853776500000005"/>
    <n v="0.28729914899999998"/>
    <n v="-0.60695098811824699"/>
    <n v="0.35275503208253217"/>
    <n v="-0.92098719799999995"/>
    <n v="-0.95194763900000001"/>
    <n v="0.31251975382699121"/>
    <n v="-1.8729348370000001"/>
    <n v="0.133202503"/>
    <n v="-1.5604150831730086"/>
    <n v="0.17358709335450553"/>
    <n v="-0.53185853400000005"/>
    <n v="0.210250826"/>
    <n v="-1.390736301"/>
    <n v="-1.0836830356456277"/>
    <n v="0.26317106271851887"/>
    <x v="0"/>
    <n v="0.999636882"/>
    <n v="1.64E-11"/>
    <n v="3.63118E-4"/>
    <n v="5.8299999999999995E-11"/>
  </r>
  <r>
    <x v="0"/>
    <s v="Diatraea_SAM_5"/>
    <x v="159"/>
    <n v="-0.19353009400000001"/>
    <n v="-0.76580789500000002"/>
    <n v="0.30158677788175303"/>
    <n v="-0.959337989"/>
    <n v="0.27701076000000002"/>
    <n v="-0.65775121111824697"/>
    <n v="0.34124495154822643"/>
    <n v="-0.40893300900000001"/>
    <n v="-0.95194763900000001"/>
    <n v="0.31251975382699121"/>
    <n v="-1.360880648"/>
    <n v="0.204097211"/>
    <n v="-1.0483608941730087"/>
    <n v="0.25953997832433501"/>
    <n v="-0.30123155200000001"/>
    <n v="0.240553986"/>
    <n v="-1.1601093185"/>
    <n v="-0.85305605264562789"/>
    <n v="0.30039246493628069"/>
    <x v="0"/>
    <n v="0.99991494599999997"/>
    <n v="4.8300000000000001E-25"/>
    <n v="8.3999999999999995E-5"/>
    <n v="1.0300000000000001E-6"/>
  </r>
  <r>
    <x v="0"/>
    <s v="Diatraea_SAM_5"/>
    <x v="160"/>
    <n v="-8.2911398999999997E-2"/>
    <n v="-0.76580789500000002"/>
    <n v="0.30158677788175303"/>
    <n v="-0.84871929400000001"/>
    <n v="0.29970158400000002"/>
    <n v="-0.54713251611824698"/>
    <n v="0.36652994269588551"/>
    <n v="-1.3772784999999999E-2"/>
    <n v="-0.95194763900000001"/>
    <n v="0.31251975382699121"/>
    <n v="-0.96572042499999999"/>
    <n v="0.27573433400000003"/>
    <n v="-0.65320067017300887"/>
    <n v="0.34226863651377687"/>
    <n v="-4.8342092000000003E-2"/>
    <n v="0.28771795900000002"/>
    <n v="-0.90721985950000006"/>
    <n v="-0.60016659314562792"/>
    <n v="0.35439928960483119"/>
    <x v="0"/>
    <n v="4.4999999999999998E-15"/>
    <n v="1.8000000000000001E-42"/>
    <n v="3.3999999999999997E-20"/>
    <n v="1"/>
  </r>
  <r>
    <x v="0"/>
    <s v="Diatraea_SAM_5"/>
    <x v="161"/>
    <n v="7.023039E-3"/>
    <n v="-0.76580789500000002"/>
    <n v="0.30158677788175303"/>
    <n v="-0.75878485600000001"/>
    <n v="0.31891014499999998"/>
    <n v="-0.45719807811824698"/>
    <n v="0.38765072772460468"/>
    <n v="0.25662238799999998"/>
    <n v="-0.95194763900000001"/>
    <n v="0.31251975382699121"/>
    <n v="-0.69532525099999998"/>
    <n v="0.332849493"/>
    <n v="-0.38280549717300888"/>
    <n v="0.40545042386121588"/>
    <n v="0.13182271300000001"/>
    <n v="0.32587981900000002"/>
    <n v="-0.72705505349999999"/>
    <n v="-0.4200017876456279"/>
    <n v="0.39655057579291031"/>
    <x v="0"/>
    <n v="4.8E-9"/>
    <n v="2.93E-30"/>
    <n v="3.3299999999999999E-13"/>
    <n v="0.99999999500000003"/>
  </r>
  <r>
    <x v="0"/>
    <s v="Diatraea_SAM_5"/>
    <x v="162"/>
    <n v="0.18668641899999999"/>
    <n v="-0.76580789500000002"/>
    <n v="0.30158677788175303"/>
    <n v="-0.579121475"/>
    <n v="0.35913476700000002"/>
    <n v="-0.27753469811824705"/>
    <n v="0.43105828099932575"/>
    <n v="0.31489051099999998"/>
    <n v="-0.95194763900000001"/>
    <n v="0.31251975382699121"/>
    <n v="-0.63705712800000003"/>
    <n v="0.34591208200000001"/>
    <n v="-0.32453737417300882"/>
    <n v="0.41957035474905841"/>
    <n v="0.25078846500000002"/>
    <n v="0.352523425"/>
    <n v="-0.60808930149999996"/>
    <n v="-0.30103603614562791"/>
    <n v="0.42531431787419205"/>
    <x v="0"/>
    <n v="1.56E-16"/>
    <n v="6.3299999999999997E-34"/>
    <n v="2.7799999999999999E-21"/>
    <n v="1"/>
  </r>
  <r>
    <x v="0"/>
    <s v="Diatraea_SAM_5"/>
    <x v="163"/>
    <n v="0.12541126399999999"/>
    <n v="-0.76580789500000002"/>
    <n v="0.30158677788175303"/>
    <n v="-0.64039663099999999"/>
    <n v="0.345156886"/>
    <n v="-0.33880985311824696"/>
    <n v="0.41609860690780404"/>
    <n v="0.13834658599999999"/>
    <n v="-0.95194763900000001"/>
    <n v="0.31251975382699121"/>
    <n v="-0.81360105299999996"/>
    <n v="0.30712366400000002"/>
    <n v="-0.5010812991730087"/>
    <n v="0.37728659314671503"/>
    <n v="0.13187892500000001"/>
    <n v="0.32614027499999998"/>
    <n v="-0.72699884199999998"/>
    <n v="-0.41994557614562783"/>
    <n v="0.39669260002725953"/>
    <x v="0"/>
    <n v="1.4399999999999999E-15"/>
    <n v="8.1699999999999998E-37"/>
    <n v="4.2999999999999998E-21"/>
    <n v="1"/>
  </r>
  <r>
    <x v="0"/>
    <s v="Diatraea_SAM_5"/>
    <x v="164"/>
    <n v="-0.30216728799999998"/>
    <n v="-0.76580789500000002"/>
    <n v="0.30158677788175303"/>
    <n v="-1.0679751829999999"/>
    <n v="0.25578833899999998"/>
    <n v="-0.76638840511824691"/>
    <n v="0.31726088407808245"/>
    <n v="-0.13996476099999999"/>
    <n v="-0.95194763900000001"/>
    <n v="0.31251975382699121"/>
    <n v="-1.0919124"/>
    <n v="0.25125833199999997"/>
    <n v="-0.77939264617300874"/>
    <n v="0.31445079947654681"/>
    <n v="-0.221066025"/>
    <n v="0.25352333599999999"/>
    <n v="-1.0799437914999999"/>
    <n v="-0.77289052564562777"/>
    <n v="0.31585584177731463"/>
    <x v="0"/>
    <n v="0.99991749200000002"/>
    <n v="8.4600000000000004E-22"/>
    <n v="7.9800000000000002E-5"/>
    <n v="2.6599999999999999E-6"/>
  </r>
  <r>
    <x v="0"/>
    <s v="Diatraea_SAM_5"/>
    <x v="165"/>
    <n v="-0.124049509"/>
    <n v="-0.76580789500000002"/>
    <n v="0.30158677788175303"/>
    <n v="-0.88985740400000002"/>
    <n v="0.29113925499999999"/>
    <n v="-0.58827062611824699"/>
    <n v="0.3570317512820676"/>
    <n v="0.16816238999999999"/>
    <n v="-0.95194763900000001"/>
    <n v="0.31251975382699121"/>
    <n v="-0.78378524900000002"/>
    <n v="0.31350465199999999"/>
    <n v="-0.47126549517300881"/>
    <n v="0.38431676164282658"/>
    <n v="2.205644E-2"/>
    <n v="0.302321954"/>
    <n v="-0.83682132649999996"/>
    <n v="-0.52976806064562787"/>
    <n v="0.37067425646244712"/>
    <x v="0"/>
    <n v="3.01E-15"/>
    <n v="3.64E-26"/>
    <n v="9.0200000000000009E-19"/>
    <n v="1"/>
  </r>
  <r>
    <x v="0"/>
    <s v="Diatraea_SAM_5"/>
    <x v="166"/>
    <n v="8.1096281000000006E-2"/>
    <n v="-0.76580789500000002"/>
    <n v="0.30158677788175303"/>
    <n v="-0.68471161400000002"/>
    <n v="0.33521053200000001"/>
    <n v="-0.38312483611824699"/>
    <n v="0.40537344621934573"/>
    <n v="0.25662238799999998"/>
    <n v="-0.95194763900000001"/>
    <n v="0.31251975382699121"/>
    <n v="-0.69532525099999998"/>
    <n v="0.332849493"/>
    <n v="-0.38280549717300888"/>
    <n v="0.40545042386121588"/>
    <n v="0.168859334"/>
    <n v="0.33403001300000001"/>
    <n v="-0.69001843250000006"/>
    <n v="-0.38296516664562796"/>
    <n v="0.40541193504028084"/>
    <x v="0"/>
    <n v="1.8299999999999999E-10"/>
    <n v="3.7999999999999998E-29"/>
    <n v="7.6999999999999994E-17"/>
    <n v="1"/>
  </r>
  <r>
    <x v="0"/>
    <s v="Diatraea_SAM_5"/>
    <x v="167"/>
    <n v="-0.10176435"/>
    <n v="-0.76580789500000002"/>
    <n v="0.30158677788175303"/>
    <n v="-0.86757224499999996"/>
    <n v="0.295759718"/>
    <n v="-0.56598546711824704"/>
    <n v="0.3621636724362392"/>
    <n v="-0.37384548899999998"/>
    <n v="-0.95194763900000001"/>
    <n v="0.31251975382699121"/>
    <n v="-1.325793129"/>
    <n v="0.209856082"/>
    <n v="-1.0132733741730087"/>
    <n v="0.26633973499283381"/>
    <n v="-0.23780492"/>
    <n v="0.25280789999999997"/>
    <n v="-1.0966826869999999"/>
    <n v="-0.7896294206456278"/>
    <n v="0.31425170371453648"/>
    <x v="0"/>
    <n v="2.2999999999999999E-15"/>
    <n v="5.3799999999999997E-38"/>
    <n v="8.8799999999999999E-20"/>
    <n v="1"/>
  </r>
  <r>
    <x v="0"/>
    <s v="Diatraea_SAM_5"/>
    <x v="168"/>
    <n v="0.25725864599999998"/>
    <n v="-0.76580789500000002"/>
    <n v="0.30158677788175303"/>
    <n v="-0.50854924800000001"/>
    <n v="0.37553367700000001"/>
    <n v="-0.20696247111824706"/>
    <n v="0.44844328038705683"/>
    <n v="0.227288304"/>
    <n v="-0.95194763900000001"/>
    <n v="0.31251975382699121"/>
    <n v="-0.72465933500000002"/>
    <n v="0.32636779199999999"/>
    <n v="-0.41213958117300881"/>
    <n v="0.39839920085628844"/>
    <n v="0.24227347499999999"/>
    <n v="0.35095073500000001"/>
    <n v="-0.61660429150000007"/>
    <n v="-0.30955102614562791"/>
    <n v="0.42342124062167263"/>
    <x v="0"/>
    <n v="2.7100000000000001E-13"/>
    <n v="6.6699999999999997E-33"/>
    <n v="5.44E-14"/>
    <n v="1"/>
  </r>
  <r>
    <x v="0"/>
    <s v="Diatraea_SAM_5"/>
    <x v="169"/>
    <n v="-1.7605128000000001E-2"/>
    <n v="-0.76580789500000002"/>
    <n v="0.30158677788175303"/>
    <n v="-0.78341302300000004"/>
    <n v="0.31358476800000001"/>
    <n v="-0.48182624511824701"/>
    <n v="0.38182097687233707"/>
    <n v="4.7736643000000002E-2"/>
    <n v="-0.95194763900000001"/>
    <n v="0.31251975382699121"/>
    <n v="-0.90421099599999999"/>
    <n v="0.28818590599999999"/>
    <n v="-0.59169124217300872"/>
    <n v="0.35624689897641099"/>
    <n v="1.5065757000000001E-2"/>
    <n v="0.30088533699999997"/>
    <n v="-0.84381200950000002"/>
    <n v="-0.53675874364562781"/>
    <n v="0.369033937924374"/>
    <x v="0"/>
    <n v="1.69E-15"/>
    <n v="7.09E-38"/>
    <n v="1.31E-18"/>
    <n v="1"/>
  </r>
  <r>
    <x v="0"/>
    <s v="Diatraea_SAM_5"/>
    <x v="2"/>
    <n v="0.12878484600000001"/>
    <n v="-0.76580789500000002"/>
    <n v="0.30158677788175303"/>
    <n v="-0.63702304799999998"/>
    <n v="0.34591979299999998"/>
    <n v="-0.33543627111824692"/>
    <n v="0.416918485554645"/>
    <n v="0.16816238999999999"/>
    <n v="-0.95194763900000001"/>
    <n v="0.31251975382699121"/>
    <n v="-0.78378524900000002"/>
    <n v="0.31350465199999999"/>
    <n v="-0.47126549517300881"/>
    <n v="0.38431676164282658"/>
    <n v="0.148473618"/>
    <n v="0.32971222300000003"/>
    <n v="-0.7104041485"/>
    <n v="-0.40335088314562784"/>
    <n v="0.40061762359873576"/>
    <x v="1"/>
    <n v="2E-14"/>
    <n v="2.4500000000000002E-35"/>
    <n v="1.3600000000000001E-12"/>
    <n v="1"/>
  </r>
  <r>
    <x v="0"/>
    <s v="Diatraea_SAM_5"/>
    <x v="3"/>
    <n v="7.8236410000000006E-2"/>
    <n v="-0.76580789500000002"/>
    <n v="0.30158677788175303"/>
    <n v="-0.68757148499999998"/>
    <n v="0.33457352600000001"/>
    <n v="-0.38598470711824695"/>
    <n v="0.40468427325596873"/>
    <n v="0.19780558100000001"/>
    <n v="-0.95194763900000001"/>
    <n v="0.31251975382699121"/>
    <n v="-0.75414205899999998"/>
    <n v="0.319919438"/>
    <n v="-0.4416223041730088"/>
    <n v="0.39135447460838263"/>
    <n v="0.13802099500000001"/>
    <n v="0.32724648200000001"/>
    <n v="-0.72085677199999998"/>
    <n v="-0.41380350564562784"/>
    <n v="0.39801937393217568"/>
    <x v="1"/>
    <n v="1.2099999999999999E-16"/>
    <n v="7.3199999999999999E-41"/>
    <n v="4.96E-19"/>
    <n v="1"/>
  </r>
  <r>
    <x v="0"/>
    <s v="Diatraea_SAM_5"/>
    <x v="170"/>
    <n v="2.7429272000000001E-2"/>
    <n v="-0.76580789500000002"/>
    <n v="0.30158677788175303"/>
    <n v="-0.73837862300000001"/>
    <n v="0.323358796"/>
    <n v="-0.43679184511824698"/>
    <n v="0.39250567327660874"/>
    <n v="0.227288304"/>
    <n v="-0.95194763900000001"/>
    <n v="0.31251975382699121"/>
    <n v="-0.72465933500000002"/>
    <n v="0.32636779199999999"/>
    <n v="-0.41213958117300881"/>
    <n v="0.39839920085628844"/>
    <n v="0.127358788"/>
    <n v="0.32486329400000002"/>
    <n v="-0.73151897900000007"/>
    <n v="-0.42446571314562787"/>
    <n v="0.39545243706644861"/>
    <x v="0"/>
    <n v="2.7599999999999998E-10"/>
    <n v="1.62E-31"/>
    <n v="8.4899999999999997E-14"/>
    <n v="1"/>
  </r>
  <r>
    <x v="0"/>
    <s v="Diatraea_SAM_6"/>
    <x v="171"/>
    <n v="0.31023488900000001"/>
    <n v="-0.76580789500000002"/>
    <n v="0.36676956185289034"/>
    <n v="-0.455573006"/>
    <n v="0.38803655399999998"/>
    <n v="-8.8803444147109667E-2"/>
    <n v="0.47781371722831462"/>
    <n v="0.28215282400000002"/>
    <n v="-0.95194763900000001"/>
    <n v="0.3511302049154727"/>
    <n v="-0.66979481500000004"/>
    <n v="0.33854278700000001"/>
    <n v="-0.31866461008452723"/>
    <n v="0.42100122703602583"/>
    <n v="0.296193857"/>
    <n v="0.36328967000000001"/>
    <n v="-0.5626839105"/>
    <n v="-0.20373402711581845"/>
    <n v="0.44940747213217025"/>
    <x v="0"/>
    <n v="1.5E-16"/>
    <n v="8.9400000000000003E-41"/>
    <n v="1.56E-22"/>
    <n v="1"/>
  </r>
  <r>
    <x v="0"/>
    <s v="Diatraea_SAM_6"/>
    <x v="172"/>
    <n v="-6.8346977000000003E-2"/>
    <n v="-0.76580789500000002"/>
    <n v="0.36676956185289034"/>
    <n v="-0.83415487200000005"/>
    <n v="0.30276726199999998"/>
    <n v="-0.46738531014710971"/>
    <n v="0.3852352920405"/>
    <n v="-0.17207307299999999"/>
    <n v="-0.95194763900000001"/>
    <n v="0.3511302049154727"/>
    <n v="-1.1240207120000001"/>
    <n v="0.24526624499999999"/>
    <n v="-0.77289050708452733"/>
    <n v="0.31585416348294537"/>
    <n v="-0.120210025"/>
    <n v="0.274016753"/>
    <n v="-0.97908779200000007"/>
    <n v="-0.62013790861581852"/>
    <n v="0.35054472776172269"/>
    <x v="0"/>
    <n v="3.6599999999999999E-17"/>
    <n v="4.0499999999999998E-38"/>
    <n v="4.0499999999999998E-21"/>
    <n v="1"/>
  </r>
  <r>
    <x v="0"/>
    <s v="Diatraea_SAM_6"/>
    <x v="173"/>
    <n v="-0.28470833299999998"/>
    <n v="-0.76580789500000002"/>
    <n v="0.36676956185289034"/>
    <n v="-1.0505162269999999"/>
    <n v="0.259125983"/>
    <n v="-0.68374666614710966"/>
    <n v="0.33542559919102971"/>
    <n v="-0.440399347"/>
    <n v="-0.95194763900000001"/>
    <n v="0.3511302049154727"/>
    <n v="-1.392346986"/>
    <n v="0.199033338"/>
    <n v="-1.0412167810845272"/>
    <n v="0.26091528342709697"/>
    <n v="-0.36255384000000002"/>
    <n v="0.22907966099999999"/>
    <n v="-1.2214316064999999"/>
    <n v="-0.86248172361581843"/>
    <n v="0.29817044130906334"/>
    <x v="0"/>
    <n v="0.99968768200000002"/>
    <n v="5.5800000000000001E-28"/>
    <n v="3.1231800000000001E-4"/>
    <n v="6.1399999999999997E-18"/>
  </r>
  <r>
    <x v="0"/>
    <s v="Diatraea_SAM_6"/>
    <x v="92"/>
    <n v="0.11575914499999999"/>
    <n v="-0.76580789500000002"/>
    <n v="0.36676956185289034"/>
    <n v="-0.65004874899999998"/>
    <n v="0.34297855199999999"/>
    <n v="-0.28327918814710973"/>
    <n v="0.42965002341891584"/>
    <n v="0.165178143"/>
    <n v="-0.95194763900000001"/>
    <n v="0.3511302049154727"/>
    <n v="-0.78676949600000001"/>
    <n v="0.31286274200000003"/>
    <n v="-0.43563929108452731"/>
    <n v="0.39278052801043928"/>
    <n v="0.140468644"/>
    <n v="0.32792064700000001"/>
    <n v="-0.7184091225"/>
    <n v="-0.35945923961581849"/>
    <n v="0.41121527571467753"/>
    <x v="0"/>
    <n v="3.6600000000000002E-12"/>
    <n v="4.02E-35"/>
    <n v="4.4700000000000001E-18"/>
    <n v="1"/>
  </r>
  <r>
    <x v="0"/>
    <s v="Diatraea_SAM_6"/>
    <x v="174"/>
    <n v="9.3489681000000005E-2"/>
    <n v="-0.76580789500000002"/>
    <n v="0.36676956185289034"/>
    <n v="-0.67231821400000003"/>
    <n v="0.33797794799999997"/>
    <n v="-0.30554865214710969"/>
    <n v="0.42420163257263765"/>
    <n v="7.5826168999999999E-2"/>
    <n v="-0.95194763900000001"/>
    <n v="0.3511302049154727"/>
    <n v="-0.87612147100000004"/>
    <n v="0.29398215"/>
    <n v="-0.5249912650845272"/>
    <n v="0.37168585161501916"/>
    <n v="8.4657924999999995E-2"/>
    <n v="0.31598004899999999"/>
    <n v="-0.77421984249999998"/>
    <n v="-0.41526995861581845"/>
    <n v="0.39794374209382843"/>
    <x v="0"/>
    <n v="0.78810028499999996"/>
    <n v="5.3300000000000003E-21"/>
    <n v="0.21188304099999999"/>
    <n v="1.6699999999999999E-5"/>
  </r>
  <r>
    <x v="0"/>
    <s v="Diatraea_SAM_6"/>
    <x v="175"/>
    <n v="-0.470311125"/>
    <n v="-0.76580789500000002"/>
    <n v="0.36676956185289034"/>
    <n v="-1.2361190200000001"/>
    <n v="0.22511224899999999"/>
    <n v="-0.86934945814710973"/>
    <n v="0.29538968425722512"/>
    <n v="-0.74015545299999996"/>
    <n v="-0.95194763900000001"/>
    <n v="0.3511302049154727"/>
    <n v="-1.692103092"/>
    <n v="0.155499463"/>
    <n v="-1.3409728870845272"/>
    <n v="0.20735011316113805"/>
    <n v="-0.60523328899999995"/>
    <n v="0.190305856"/>
    <n v="-1.4641110560000001"/>
    <n v="-1.1051611726158184"/>
    <n v="0.25136989870918158"/>
    <x v="0"/>
    <n v="1.3099999999999999E-43"/>
    <n v="1"/>
    <n v="1.85E-47"/>
    <n v="4.2799999999999998E-47"/>
  </r>
  <r>
    <x v="0"/>
    <s v="Diatraea_SAM_6"/>
    <x v="97"/>
    <n v="-5.7673663999999999E-2"/>
    <n v="-0.76580789500000002"/>
    <n v="0.36676956185289034"/>
    <n v="-0.82348155899999997"/>
    <n v="0.30502512199999998"/>
    <n v="-0.45671199714710964"/>
    <n v="0.38776611877820832"/>
    <n v="-0.17207307299999999"/>
    <n v="-0.95194763900000001"/>
    <n v="0.3511302049154727"/>
    <n v="-1.1240207120000001"/>
    <n v="0.24526624499999999"/>
    <n v="-0.77289050708452733"/>
    <n v="0.31585416348294537"/>
    <n v="-0.114873369"/>
    <n v="0.27514568299999997"/>
    <n v="-0.97375113550000003"/>
    <n v="-0.61480125211581849"/>
    <n v="0.35181014113057685"/>
    <x v="1"/>
    <n v="1.7500000000000001E-13"/>
    <n v="3.3E-35"/>
    <n v="1.41E-18"/>
    <n v="1"/>
  </r>
  <r>
    <x v="0"/>
    <s v="Diatraea_SAM_6"/>
    <x v="176"/>
    <n v="9.4703702000000001E-2"/>
    <n v="-0.76580789500000002"/>
    <n v="0.36676956185289034"/>
    <n v="-0.67110419300000002"/>
    <n v="0.33824963800000002"/>
    <n v="-0.30433463114710968"/>
    <n v="0.42449819004851946"/>
    <n v="0.105788567"/>
    <n v="-0.95194763900000001"/>
    <n v="0.3511302049154727"/>
    <n v="-0.84615907199999996"/>
    <n v="0.30023919999999998"/>
    <n v="-0.49502886708452737"/>
    <n v="0.37870961268803599"/>
    <n v="0.100246134"/>
    <n v="0.319244419"/>
    <n v="-0.75863163249999999"/>
    <n v="-0.39968174911581855"/>
    <n v="0.40160390136827773"/>
    <x v="0"/>
    <n v="4.5399999999999998E-16"/>
    <n v="3.35E-37"/>
    <n v="9.5599999999999994E-22"/>
    <n v="1"/>
  </r>
  <r>
    <x v="0"/>
    <s v="Diatraea_SAM_6"/>
    <x v="177"/>
    <n v="-0.18989787499999999"/>
    <n v="-0.76580789500000002"/>
    <n v="0.36676956185289034"/>
    <n v="-0.95570577000000001"/>
    <n v="0.27773879499999998"/>
    <n v="-0.58893620814710967"/>
    <n v="0.35687897476177965"/>
    <n v="-0.440399347"/>
    <n v="-0.95194763900000001"/>
    <n v="0.3511302049154727"/>
    <n v="-1.392346986"/>
    <n v="0.199033338"/>
    <n v="-1.0412167810845272"/>
    <n v="0.26091528342709697"/>
    <n v="-0.31514861100000002"/>
    <n v="0.23838606600000001"/>
    <n v="-1.174026378"/>
    <n v="-0.81507649461581844"/>
    <n v="0.30889712909443834"/>
    <x v="0"/>
    <n v="0.99923988200000002"/>
    <n v="2.5000000000000001E-26"/>
    <n v="7.6011700000000004E-4"/>
    <n v="1.6699999999999999E-10"/>
  </r>
  <r>
    <x v="0"/>
    <s v="Diatraea_SAM_6"/>
    <x v="178"/>
    <n v="-5.9911984000000001E-2"/>
    <n v="-0.76580789500000002"/>
    <n v="0.36676956185289034"/>
    <n v="-0.82571987899999999"/>
    <n v="0.30455083900000002"/>
    <n v="-0.45895031714710965"/>
    <n v="0.38723486733126733"/>
    <n v="0.105788567"/>
    <n v="-0.95194763900000001"/>
    <n v="0.3511302049154727"/>
    <n v="-0.84615907199999996"/>
    <n v="0.30023919999999998"/>
    <n v="-0.49502886708452737"/>
    <n v="0.37870961268803599"/>
    <n v="2.2938291E-2"/>
    <n v="0.30239502000000001"/>
    <n v="-0.83593947550000003"/>
    <n v="-0.47698959211581848"/>
    <n v="0.38297224000965169"/>
    <x v="0"/>
    <n v="1.02E-26"/>
    <n v="1.9200000000000001E-51"/>
    <n v="1.9000000000000002E-30"/>
    <n v="1"/>
  </r>
  <r>
    <x v="0"/>
    <s v="Diatraea_SAM_6"/>
    <x v="179"/>
    <n v="7.0002386999999999E-2"/>
    <n v="-0.76580789500000002"/>
    <n v="0.36676956185289034"/>
    <n v="-0.69580550799999996"/>
    <n v="0.33274285599999998"/>
    <n v="-0.32903594614710974"/>
    <n v="0.41847521078327682"/>
    <n v="0.45444067399999999"/>
    <n v="-0.95194763900000001"/>
    <n v="0.3511302049154727"/>
    <n v="-0.49750696500000002"/>
    <n v="0.37812672000000003"/>
    <n v="-0.14637676008452732"/>
    <n v="0.4634710096862017"/>
    <n v="0.26222152999999998"/>
    <n v="0.355434788"/>
    <n v="-0.59665623649999999"/>
    <n v="-0.23770635311581853"/>
    <n v="0.44097311023473929"/>
    <x v="0"/>
    <n v="0.99192038000000005"/>
    <n v="1.72E-26"/>
    <n v="8.0796199999999992E-3"/>
    <n v="2.5900000000000001E-12"/>
  </r>
  <r>
    <x v="0"/>
    <s v="Diatraea_SAM_6"/>
    <x v="180"/>
    <n v="-8.0421959999999997E-3"/>
    <n v="-0.76580789500000002"/>
    <n v="0.36676956185289034"/>
    <n v="-0.77385009000000005"/>
    <n v="0.31564684300000001"/>
    <n v="-0.40708052914710968"/>
    <n v="0.39961236165486491"/>
    <n v="-0.47587483600000002"/>
    <n v="-0.95194763900000001"/>
    <n v="0.3511302049154727"/>
    <n v="-1.4278224749999999"/>
    <n v="0.19343819500000001"/>
    <n v="-1.0766922700845274"/>
    <n v="0.25413248405039607"/>
    <n v="-0.24195851600000001"/>
    <n v="0.25454251900000002"/>
    <n v="-1.1008362825"/>
    <n v="-0.74188639961581848"/>
    <n v="0.32687242285263052"/>
    <x v="0"/>
    <n v="2.8100000000000003E-17"/>
    <n v="2.6999999999999997E-35"/>
    <n v="1.4299999999999999E-20"/>
    <n v="1"/>
  </r>
  <r>
    <x v="0"/>
    <s v="Diatraea_SAM_6"/>
    <x v="181"/>
    <n v="0.153131296"/>
    <n v="-0.76580789500000002"/>
    <n v="0.36676956185289034"/>
    <n v="-0.61267659900000004"/>
    <n v="0.35144887200000002"/>
    <n v="-0.24590703714710971"/>
    <n v="0.43883117180363879"/>
    <n v="0.28215282400000002"/>
    <n v="-0.95194763900000001"/>
    <n v="0.3511302049154727"/>
    <n v="-0.66979481500000004"/>
    <n v="0.33854278700000001"/>
    <n v="-0.31866461008452723"/>
    <n v="0.42100122703602583"/>
    <n v="0.21764206"/>
    <n v="0.34499582899999998"/>
    <n v="-0.6412357070000001"/>
    <n v="-0.28228582361581844"/>
    <n v="0.42991619941983228"/>
    <x v="0"/>
    <n v="1.4900000000000001E-16"/>
    <n v="1.4E-34"/>
    <n v="3.8500000000000002E-19"/>
    <n v="1"/>
  </r>
  <r>
    <x v="0"/>
    <s v="Diatraea_SAM_6"/>
    <x v="2"/>
    <n v="0.32348486700000001"/>
    <n v="-0.76580789500000002"/>
    <n v="0.36676956185289034"/>
    <n v="-0.44232302800000001"/>
    <n v="0.39118757799999998"/>
    <n v="-7.5553466147109671E-2"/>
    <n v="0.48112061341707857"/>
    <n v="0.76709005600000002"/>
    <n v="-0.95194763900000001"/>
    <n v="0.3511302049154727"/>
    <n v="-0.18485758399999999"/>
    <n v="0.45391675999999997"/>
    <n v="0.16627262191547271"/>
    <n v="0.54147265137845424"/>
    <n v="0.54528746100000003"/>
    <n v="0.42255216899999998"/>
    <n v="-0.31359030599999999"/>
    <n v="4.5359577884181518E-2"/>
    <n v="0.51129663239776635"/>
    <x v="1"/>
    <n v="2E-14"/>
    <n v="2.4500000000000002E-35"/>
    <n v="1.3600000000000001E-12"/>
    <n v="1"/>
  </r>
  <r>
    <x v="0"/>
    <s v="Diatraea_SAM_6"/>
    <x v="3"/>
    <n v="0.13774842400000001"/>
    <n v="-0.76580789500000002"/>
    <n v="0.36676956185289034"/>
    <n v="-0.62805947100000004"/>
    <n v="0.34795067699999999"/>
    <n v="-0.2612899091471097"/>
    <n v="0.43504664643637381"/>
    <n v="0.28215282400000002"/>
    <n v="-0.95194763900000001"/>
    <n v="0.3511302049154727"/>
    <n v="-0.66979481500000004"/>
    <n v="0.33854278700000001"/>
    <n v="-0.31866461008452723"/>
    <n v="0.42100122703602583"/>
    <n v="0.209950624"/>
    <n v="0.343246732"/>
    <n v="-0.6489271430000001"/>
    <n v="-0.28997725961581844"/>
    <n v="0.42802393673619982"/>
    <x v="1"/>
    <n v="1.2099999999999999E-16"/>
    <n v="7.3199999999999999E-41"/>
    <n v="4.96E-19"/>
    <n v="1"/>
  </r>
  <r>
    <x v="0"/>
    <s v="Diatraea_SAM_6"/>
    <x v="102"/>
    <n v="-0.13557148199999999"/>
    <n v="-0.76580789500000002"/>
    <n v="0.36676956185289034"/>
    <n v="-0.90137937700000004"/>
    <n v="0.28876711799999999"/>
    <n v="-0.5346098151471097"/>
    <n v="0.36944236511455025"/>
    <n v="-1.5286274000000001E-2"/>
    <n v="-0.95194763900000001"/>
    <n v="0.3511302049154727"/>
    <n v="-0.96723391299999995"/>
    <n v="0.275432185"/>
    <n v="-0.6161037080845273"/>
    <n v="0.35066812003339698"/>
    <n v="-7.5428878000000005E-2"/>
    <n v="0.28209965100000001"/>
    <n v="-0.93430664499999994"/>
    <n v="-0.5753567616158185"/>
    <n v="0.36005524257397359"/>
    <x v="0"/>
    <n v="7.9300000000000003E-5"/>
    <n v="0.99991929000000002"/>
    <n v="1.3799999999999999E-6"/>
    <n v="3.45E-17"/>
  </r>
  <r>
    <x v="0"/>
    <s v="Diatraea_SAM_7"/>
    <x v="182"/>
    <n v="-0.36596220099999999"/>
    <n v="-0.76580789500000002"/>
    <n v="-0.40815884462967861"/>
    <n v="-1.1317700959999999"/>
    <n v="0.24383458399999999"/>
    <n v="-1.5399289406296786"/>
    <n v="0.17654560495783031"/>
    <n v="-0.91538797699999996"/>
    <n v="-0.95194763900000001"/>
    <n v="-0.66911011404127352"/>
    <n v="-1.8673356160000001"/>
    <n v="0.133850315"/>
    <n v="-2.5364457300412737"/>
    <n v="7.3342367197471323E-2"/>
    <n v="-0.64067508900000003"/>
    <n v="0.188842449"/>
    <n v="-1.499552856"/>
    <n v="-2.038187335335476"/>
    <n v="0.12494398607765081"/>
    <x v="0"/>
    <n v="9.1000000000000003E-41"/>
    <n v="1"/>
    <n v="1.7499999999999999E-44"/>
    <n v="1.8900000000000001E-60"/>
  </r>
  <r>
    <x v="0"/>
    <s v="Diatraea_SAM_7"/>
    <x v="183"/>
    <n v="-0.21517477199999999"/>
    <n v="-0.76580789500000002"/>
    <n v="-0.40815884462967861"/>
    <n v="-0.98098266700000003"/>
    <n v="0.27269684500000002"/>
    <n v="-1.3891415116296786"/>
    <n v="0.19954484499434311"/>
    <n v="-0.70372486199999995"/>
    <n v="-0.95194763900000001"/>
    <n v="-0.66911011404127352"/>
    <n v="-1.655672502"/>
    <n v="0.160343768"/>
    <n v="-2.3247826150412734"/>
    <n v="8.909116780386403E-2"/>
    <n v="-0.45944981699999998"/>
    <n v="0.216520306"/>
    <n v="-1.3183275845"/>
    <n v="-1.856962063335476"/>
    <n v="0.14431800639910358"/>
    <x v="0"/>
    <n v="8.8700000000000002E-16"/>
    <n v="7.4E-37"/>
    <n v="9.8800000000000006E-20"/>
    <n v="1"/>
  </r>
  <r>
    <x v="0"/>
    <s v="Diatraea_SAM_7"/>
    <x v="184"/>
    <n v="0.33002503"/>
    <n v="-0.76580789500000002"/>
    <n v="-0.40815884462967861"/>
    <n v="-0.43578286500000002"/>
    <n v="0.392746286"/>
    <n v="-0.84394170962967863"/>
    <n v="0.30070526439181156"/>
    <n v="0.30592339699999999"/>
    <n v="-0.95194763900000001"/>
    <n v="-0.66911011404127352"/>
    <n v="-0.64602424300000005"/>
    <n v="0.34388602400000001"/>
    <n v="-1.3151343560412734"/>
    <n v="0.21162894887436928"/>
    <n v="0.31797421300000001"/>
    <n v="0.36831615499999998"/>
    <n v="-0.54090355400000001"/>
    <n v="-1.079538032835476"/>
    <n v="0.25616710663309039"/>
    <x v="0"/>
    <n v="6.4700000000000005E-14"/>
    <n v="3.3499999999999998E-36"/>
    <n v="6.6299999999999998E-20"/>
    <n v="1"/>
  </r>
  <r>
    <x v="0"/>
    <s v="Diatraea_SAM_7"/>
    <x v="185"/>
    <n v="-0.122047769"/>
    <n v="-0.76580789500000002"/>
    <n v="-0.40815884462967861"/>
    <n v="-0.88785566400000004"/>
    <n v="0.291552541"/>
    <n v="-1.2960145086296786"/>
    <n v="0.21483653272579786"/>
    <n v="-0.133332847"/>
    <n v="-0.95194763900000001"/>
    <n v="-0.66911011404127352"/>
    <n v="-1.085280486"/>
    <n v="0.25250803500000002"/>
    <n v="-1.7543906000412735"/>
    <n v="0.14749427036889126"/>
    <n v="-0.127690308"/>
    <n v="0.27203028800000001"/>
    <n v="-0.9865680750000001"/>
    <n v="-1.5252025543354759"/>
    <n v="0.18116540154734456"/>
    <x v="0"/>
    <n v="6.7199999999999997E-16"/>
    <n v="4.45E-41"/>
    <n v="3.1699999999999999E-20"/>
    <n v="1"/>
  </r>
  <r>
    <x v="0"/>
    <s v="Diatraea_SAM_7"/>
    <x v="186"/>
    <n v="-0.110135516"/>
    <n v="-0.76580789500000002"/>
    <n v="-0.40815884462967861"/>
    <n v="-0.87594340999999998"/>
    <n v="0.294019109"/>
    <n v="-1.2841022556296786"/>
    <n v="0.21685273805272912"/>
    <n v="-8.4773454999999998E-2"/>
    <n v="-0.95194763900000001"/>
    <n v="-0.66911011404127352"/>
    <n v="-1.0367210950000001"/>
    <n v="0.26178315600000002"/>
    <n v="-1.7058312080412734"/>
    <n v="0.15370520938004695"/>
    <n v="-9.7454484999999993E-2"/>
    <n v="0.277901132"/>
    <n v="-0.95633225249999998"/>
    <n v="-1.494966731835476"/>
    <n v="0.18527897371638802"/>
    <x v="0"/>
    <n v="1.3100000000000001E-16"/>
    <n v="1.84E-39"/>
    <n v="1.6800000000000001E-20"/>
    <n v="1"/>
  </r>
  <r>
    <x v="0"/>
    <s v="Diatraea_SAM_7"/>
    <x v="187"/>
    <n v="0.31865774099999999"/>
    <n v="-0.76580789500000002"/>
    <n v="-0.40815884462967861"/>
    <n v="-0.44715015400000002"/>
    <n v="0.39003855599999998"/>
    <n v="-0.85530899862967869"/>
    <n v="0.29832036111596583"/>
    <n v="0.45890299200000001"/>
    <n v="-0.95194763900000001"/>
    <n v="-0.66911011404127352"/>
    <n v="-0.493044647"/>
    <n v="0.37917658900000001"/>
    <n v="-1.1621547610412735"/>
    <n v="0.23827597434720596"/>
    <n v="0.38878036599999999"/>
    <n v="0.38460757200000001"/>
    <n v="-0.47009740050000004"/>
    <n v="-1.0087318798354761"/>
    <n v="0.26829816773158588"/>
    <x v="0"/>
    <n v="0.97783827099999998"/>
    <n v="1.7500000000000001E-27"/>
    <n v="2.2161055999999998E-2"/>
    <n v="6.7299999999999995E-7"/>
  </r>
  <r>
    <x v="0"/>
    <s v="Diatraea_SAM_7"/>
    <x v="188"/>
    <n v="-0.38343349199999999"/>
    <n v="-0.76580789500000002"/>
    <n v="-0.40815884462967861"/>
    <n v="-1.149241387"/>
    <n v="0.24062767400000001"/>
    <n v="-1.5574002316296787"/>
    <n v="0.17402001342291537"/>
    <n v="-0.133332847"/>
    <n v="-0.95194763900000001"/>
    <n v="-0.66911011404127352"/>
    <n v="-1.085280486"/>
    <n v="0.25250803500000002"/>
    <n v="-1.7543906000412735"/>
    <n v="0.14749427036889126"/>
    <n v="-0.25838316900000002"/>
    <n v="0.246567855"/>
    <n v="-1.1172609365000001"/>
    <n v="-1.6558954158354759"/>
    <n v="0.16075714189590332"/>
    <x v="0"/>
    <n v="0.99974210299999999"/>
    <n v="2.66E-22"/>
    <n v="2.4964799999999999E-4"/>
    <n v="8.2500000000000006E-6"/>
  </r>
  <r>
    <x v="0"/>
    <s v="Diatraea_SAM_7"/>
    <x v="189"/>
    <n v="-0.186673492"/>
    <n v="-0.76580789500000002"/>
    <n v="-0.40815884462967861"/>
    <n v="-0.95248138699999996"/>
    <n v="0.27838606900000001"/>
    <n v="-1.3606402316296786"/>
    <n v="0.20413626757244419"/>
    <n v="8.8364889999999995E-3"/>
    <n v="-0.95194763900000001"/>
    <n v="-0.66911011404127352"/>
    <n v="-0.94311115000000001"/>
    <n v="0.28027233299999998"/>
    <n v="-1.6122212640412736"/>
    <n v="0.1662804486307603"/>
    <n v="-8.8918500999999997E-2"/>
    <n v="0.27932920100000003"/>
    <n v="-0.94779626849999998"/>
    <n v="-1.4864307478354761"/>
    <n v="0.18520835810160224"/>
    <x v="0"/>
    <n v="2.68E-14"/>
    <n v="5.3800000000000001E-35"/>
    <n v="5.0800000000000001E-19"/>
    <n v="1"/>
  </r>
  <r>
    <x v="0"/>
    <s v="Diatraea_SAM_7"/>
    <x v="190"/>
    <n v="2.1530072000000001E-2"/>
    <n v="-0.76580789500000002"/>
    <n v="-0.40815884462967861"/>
    <n v="-0.74427782300000001"/>
    <n v="0.32206941100000003"/>
    <n v="-1.1524366676296787"/>
    <n v="0.24004429723377352"/>
    <n v="0.22528002499999999"/>
    <n v="-0.95194763900000001"/>
    <n v="-0.66911011404127352"/>
    <n v="-0.72666761499999999"/>
    <n v="0.32592642199999999"/>
    <n v="-1.3957777280412735"/>
    <n v="0.19848697719706263"/>
    <n v="0.123405048"/>
    <n v="0.323997916"/>
    <n v="-0.735472719"/>
    <n v="-1.2741071978354761"/>
    <n v="0.21926563721541809"/>
    <x v="0"/>
    <n v="2.9199999999999998E-14"/>
    <n v="8.8500000000000003E-32"/>
    <n v="2.0900000000000001E-17"/>
    <n v="1"/>
  </r>
  <r>
    <x v="0"/>
    <s v="Diatraea_SAM_7"/>
    <x v="191"/>
    <n v="0.100021024"/>
    <n v="-0.76580789500000002"/>
    <n v="-0.40815884462967861"/>
    <n v="-0.665786871"/>
    <n v="0.339440872"/>
    <n v="-1.0739457156296786"/>
    <n v="0.2546534426226969"/>
    <n v="0.30592339699999999"/>
    <n v="-0.95194763900000001"/>
    <n v="-0.66911011404127352"/>
    <n v="-0.64602424300000005"/>
    <n v="0.34388602400000001"/>
    <n v="-1.3151343560412734"/>
    <n v="0.21162894887436928"/>
    <n v="0.20297220999999999"/>
    <n v="0.34166344799999998"/>
    <n v="-0.65590555700000008"/>
    <n v="-1.1945400358354759"/>
    <n v="0.23314119574853309"/>
    <x v="0"/>
    <n v="4.0600000000000003E-17"/>
    <n v="3.9500000000000002E-40"/>
    <n v="5.1099999999999999E-20"/>
    <n v="1"/>
  </r>
  <r>
    <x v="0"/>
    <s v="Diatraea_SAM_7"/>
    <x v="192"/>
    <n v="0.127201867"/>
    <n v="-0.76580789500000002"/>
    <n v="-0.40815884462967861"/>
    <n v="-0.63860602799999999"/>
    <n v="0.34556171699999999"/>
    <n v="-1.0467648726296785"/>
    <n v="0.25984681780689034"/>
    <n v="0.22528002499999999"/>
    <n v="-0.95194763900000001"/>
    <n v="-0.66911011404127352"/>
    <n v="-0.72666761499999999"/>
    <n v="0.32592642199999999"/>
    <n v="-1.3957777280412735"/>
    <n v="0.19848697719706263"/>
    <n v="0.17624094600000001"/>
    <n v="0.33574406899999998"/>
    <n v="-0.68263682150000005"/>
    <n v="-1.221271300335476"/>
    <n v="0.2291668975019765"/>
    <x v="0"/>
    <n v="2.08E-17"/>
    <n v="2.4800000000000002E-41"/>
    <n v="6.6999999999999997E-23"/>
    <n v="1"/>
  </r>
  <r>
    <x v="0"/>
    <s v="Diatraea_SAM_7"/>
    <x v="193"/>
    <n v="0.16511874700000001"/>
    <n v="-0.76580789500000002"/>
    <n v="-0.40815884462967861"/>
    <n v="-0.60068914699999998"/>
    <n v="0.35418604399999998"/>
    <n v="-1.0088479926296787"/>
    <n v="0.26720536096953224"/>
    <n v="9.8201055999999995E-2"/>
    <n v="-0.95194763900000001"/>
    <n v="-0.66911011404127352"/>
    <n v="-0.85374658299999995"/>
    <n v="0.29864751699999997"/>
    <n v="-1.5228566970412736"/>
    <n v="0.17904124137551364"/>
    <n v="0.131659902"/>
    <n v="0.32641678000000002"/>
    <n v="-0.72721786499999996"/>
    <n v="-1.2658523448354762"/>
    <n v="0.22312330117252294"/>
    <x v="0"/>
    <n v="4.4200000000000004E-19"/>
    <n v="3.43E-47"/>
    <n v="3.6299999999999999E-23"/>
    <n v="1"/>
  </r>
  <r>
    <x v="0"/>
    <s v="Diatraea_SAM_7"/>
    <x v="194"/>
    <n v="0.102421304"/>
    <n v="-0.76580789500000002"/>
    <n v="-0.40815884462967861"/>
    <n v="-0.66338659099999997"/>
    <n v="0.339979272"/>
    <n v="-1.0715454356296785"/>
    <n v="0.25510929616188172"/>
    <n v="8.8364889999999995E-3"/>
    <n v="-0.95194763900000001"/>
    <n v="-0.66911011404127352"/>
    <n v="-0.94311115000000001"/>
    <n v="0.28027233299999998"/>
    <n v="-1.6122212640412736"/>
    <n v="0.1662804486307603"/>
    <n v="5.5628896999999997E-2"/>
    <n v="0.31012580299999998"/>
    <n v="-0.80324887050000005"/>
    <n v="-1.3418833498354761"/>
    <n v="0.21069487239632101"/>
    <x v="0"/>
    <n v="8.0499999999999998E-14"/>
    <n v="1.13E-34"/>
    <n v="4.5399999999999998E-16"/>
    <n v="1"/>
  </r>
  <r>
    <x v="0"/>
    <s v="Diatraea_SAM_7"/>
    <x v="2"/>
    <n v="0.29678935099999998"/>
    <n v="-0.76580789500000002"/>
    <n v="-0.40815884462967861"/>
    <n v="-0.46901854300000001"/>
    <n v="0.384848568"/>
    <n v="-0.87717738862967864"/>
    <n v="0.29376303460198455"/>
    <n v="0.567444795"/>
    <n v="-0.95194763900000001"/>
    <n v="-0.66911011404127352"/>
    <n v="-0.38450284499999998"/>
    <n v="0.40504132599999998"/>
    <n v="-1.0536129580412736"/>
    <n v="0.25853191746661874"/>
    <n v="0.43211707300000002"/>
    <n v="0.39494494699999999"/>
    <n v="-0.426760694"/>
    <n v="-0.9653951733354762"/>
    <n v="0.27614747603430168"/>
    <x v="1"/>
    <n v="2E-14"/>
    <n v="2.4500000000000002E-35"/>
    <n v="1.3600000000000001E-12"/>
    <n v="1"/>
  </r>
  <r>
    <x v="0"/>
    <s v="Diatraea_SAM_7"/>
    <x v="3"/>
    <n v="0.22690192100000001"/>
    <n v="-0.76580789500000002"/>
    <n v="-0.40815884462967861"/>
    <n v="-0.53890597399999995"/>
    <n v="0.36844211700000001"/>
    <n v="-0.94706481862967862"/>
    <n v="0.27947549359082247"/>
    <n v="0.18378118199999999"/>
    <n v="-0.95194763900000001"/>
    <n v="-0.66911011404127352"/>
    <n v="-0.76816645699999997"/>
    <n v="0.316875872"/>
    <n v="-1.4372765710412736"/>
    <n v="0.19196744145561612"/>
    <n v="0.20534155100000001"/>
    <n v="0.34265899500000002"/>
    <n v="-0.65353621549999996"/>
    <n v="-1.1921706948354762"/>
    <n v="0.23572146752321929"/>
    <x v="1"/>
    <n v="1.2099999999999999E-16"/>
    <n v="7.3199999999999999E-41"/>
    <n v="4.96E-19"/>
    <n v="1"/>
  </r>
  <r>
    <x v="0"/>
    <s v="Diatraea_SAM_7"/>
    <x v="195"/>
    <n v="-0.247548507"/>
    <n v="-0.76580789500000002"/>
    <n v="-0.40815884462967861"/>
    <n v="-1.0133564020000001"/>
    <n v="0.26632351100000001"/>
    <n v="-1.4215152466296788"/>
    <n v="0.1944241506207357"/>
    <n v="-0.234327809"/>
    <n v="-0.95194763900000001"/>
    <n v="-0.66911011404127352"/>
    <n v="-1.186275448"/>
    <n v="0.233925731"/>
    <n v="-1.8553855620412736"/>
    <n v="0.13524180945174025"/>
    <n v="-0.24093815800000001"/>
    <n v="0.25012462099999999"/>
    <n v="-1.0998159250000001"/>
    <n v="-1.6384504043354762"/>
    <n v="0.16483298003623797"/>
    <x v="0"/>
    <n v="1.9799999999999999E-18"/>
    <n v="6.2000000000000005E-42"/>
    <n v="2.2099999999999999E-20"/>
    <n v="1"/>
  </r>
  <r>
    <x v="0"/>
    <s v="Diatraea_SAM_8"/>
    <x v="196"/>
    <n v="-0.129206722"/>
    <n v="-0.76580789500000002"/>
    <n v="0.20639898313457225"/>
    <n v="-0.89501461699999996"/>
    <n v="0.29007607200000002"/>
    <n v="-0.68861563386542768"/>
    <n v="0.3343411031113222"/>
    <n v="-8.8914592000000001E-2"/>
    <n v="-0.95194763900000001"/>
    <n v="0.1319356394463834"/>
    <n v="-1.040862231"/>
    <n v="0.26098366000000001"/>
    <n v="-0.90892659155361655"/>
    <n v="0.28721954002799593"/>
    <n v="-0.10906065700000001"/>
    <n v="0.27552986600000001"/>
    <n v="-0.96793842399999996"/>
    <n v="-0.79877111270952206"/>
    <n v="0.31078032156965907"/>
    <x v="0"/>
    <n v="3.64E-15"/>
    <n v="7.2600000000000006E-39"/>
    <n v="4.9199999999999996E-19"/>
    <n v="1"/>
  </r>
  <r>
    <x v="0"/>
    <s v="Diatraea_SAM_8"/>
    <x v="197"/>
    <n v="-0.30063593599999999"/>
    <n v="-0.76580789500000002"/>
    <n v="0.20639898313457225"/>
    <n v="-1.066443831"/>
    <n v="0.25607995700000002"/>
    <n v="-0.86004484786542768"/>
    <n v="0.29732997573604142"/>
    <n v="-0.73805083800000004"/>
    <n v="-0.95194763900000001"/>
    <n v="0.1319356394463834"/>
    <n v="-1.6899984770000001"/>
    <n v="0.15577604"/>
    <n v="-1.5580628375536167"/>
    <n v="0.17392479297393415"/>
    <n v="-0.51934338700000005"/>
    <n v="0.205927999"/>
    <n v="-1.378221154"/>
    <n v="-1.2090538427095221"/>
    <n v="0.23562738435498778"/>
    <x v="0"/>
    <n v="2.3099999999999999E-42"/>
    <n v="1"/>
    <n v="3.8200000000000002E-44"/>
    <n v="1.1400000000000001E-50"/>
  </r>
  <r>
    <x v="0"/>
    <s v="Diatraea_SAM_8"/>
    <x v="198"/>
    <n v="1.6780584000000001E-2"/>
    <n v="-0.76580789500000002"/>
    <n v="0.20639898313457225"/>
    <n v="-0.74902731099999997"/>
    <n v="0.32103328199999998"/>
    <n v="-0.5426283278654277"/>
    <n v="0.36757637831661244"/>
    <n v="-0.262032237"/>
    <n v="-0.95194763900000001"/>
    <n v="0.1319356394463834"/>
    <n v="-1.213979876"/>
    <n v="0.22899761499999999"/>
    <n v="-1.0820442365536167"/>
    <n v="0.25311935884133091"/>
    <n v="-0.12262582599999999"/>
    <n v="0.27501544900000002"/>
    <n v="-0.98150359350000005"/>
    <n v="-0.81233628220952214"/>
    <n v="0.31034786857897168"/>
    <x v="0"/>
    <n v="7.9599999999999992E-12"/>
    <n v="3.8899999999999998E-33"/>
    <n v="5.8600000000000006E-17"/>
    <n v="1"/>
  </r>
  <r>
    <x v="0"/>
    <s v="Diatraea_SAM_8"/>
    <x v="199"/>
    <n v="-1.0362542000000001E-2"/>
    <n v="-0.76580789500000002"/>
    <n v="0.20639898313457225"/>
    <n v="-0.77617043699999999"/>
    <n v="0.31514583099999999"/>
    <n v="-0.56977145386542771"/>
    <n v="0.36128956235125553"/>
    <n v="0.19931090200000001"/>
    <n v="-0.95194763900000001"/>
    <n v="0.1319356394463834"/>
    <n v="-0.75263673799999997"/>
    <n v="0.32024704100000001"/>
    <n v="-0.62070109755361658"/>
    <n v="0.34962201453145603"/>
    <n v="9.4474180000000005E-2"/>
    <n v="0.31769643600000003"/>
    <n v="-0.76440358749999993"/>
    <n v="-0.5952362757095222"/>
    <n v="0.35545578844135578"/>
    <x v="0"/>
    <n v="3.3699999999999999E-15"/>
    <n v="1.9099999999999999E-38"/>
    <n v="2.14E-20"/>
    <n v="1"/>
  </r>
  <r>
    <x v="0"/>
    <s v="Diatraea_SAM_8"/>
    <x v="174"/>
    <n v="-1.8256143999999998E-2"/>
    <n v="-0.76580789500000002"/>
    <n v="0.20639898313457225"/>
    <n v="-0.78406403899999999"/>
    <n v="0.31344465399999999"/>
    <n v="-0.57766505586542771"/>
    <n v="0.35947004106256075"/>
    <n v="-8.8914592000000001E-2"/>
    <n v="-0.95194763900000001"/>
    <n v="0.1319356394463834"/>
    <n v="-1.040862231"/>
    <n v="0.26098366000000001"/>
    <n v="-0.90892659155361655"/>
    <n v="0.28721954002799593"/>
    <n v="-5.3585368000000001E-2"/>
    <n v="0.28721415700000003"/>
    <n v="-0.91246313499999998"/>
    <n v="-0.74329582370952219"/>
    <n v="0.32334479054527832"/>
    <x v="1"/>
    <n v="0.78810028499999996"/>
    <n v="5.3300000000000003E-21"/>
    <n v="0.21188304099999999"/>
    <n v="1.6699999999999999E-5"/>
  </r>
  <r>
    <x v="0"/>
    <s v="Diatraea_SAM_8"/>
    <x v="94"/>
    <n v="-7.8298342000000007E-2"/>
    <n v="-0.76580789500000002"/>
    <n v="0.20639898313457225"/>
    <n v="-0.84410623699999998"/>
    <n v="0.30067066799999997"/>
    <n v="-0.6377072538654277"/>
    <n v="0.34576500151891615"/>
    <n v="-0.156820035"/>
    <n v="-0.95194763900000001"/>
    <n v="0.1319356394463834"/>
    <n v="-1.1087676740000001"/>
    <n v="0.24810070400000001"/>
    <n v="-0.97683203455361667"/>
    <n v="0.27352082930303984"/>
    <n v="-0.117559188"/>
    <n v="0.27438568600000002"/>
    <n v="-0.97643695550000009"/>
    <n v="-0.80726964420952219"/>
    <n v="0.30964291541097799"/>
    <x v="0"/>
    <n v="2.8999999999999998E-13"/>
    <n v="9.1699999999999994E-36"/>
    <n v="9.68E-20"/>
    <n v="1"/>
  </r>
  <r>
    <x v="0"/>
    <s v="Diatraea_SAM_8"/>
    <x v="200"/>
    <n v="0.17925693000000001"/>
    <n v="-0.76580789500000002"/>
    <n v="0.20639898313457225"/>
    <n v="-0.58655096500000004"/>
    <n v="0.35742661399999998"/>
    <n v="-0.38015198186542776"/>
    <n v="0.40609024141096983"/>
    <n v="0.105952451"/>
    <n v="-0.95194763900000001"/>
    <n v="0.1319356394463834"/>
    <n v="-0.84599518799999995"/>
    <n v="0.30027363200000001"/>
    <n v="-0.71405954855361664"/>
    <n v="0.32870244966943046"/>
    <n v="0.14260469100000001"/>
    <n v="0.32885012299999999"/>
    <n v="-0.71627307650000005"/>
    <n v="-0.54710576520952214"/>
    <n v="0.36739634554020018"/>
    <x v="0"/>
    <n v="0.99988360799999998"/>
    <n v="7.7300000000000002E-25"/>
    <n v="1.1621900000000001E-4"/>
    <n v="1.72E-7"/>
  </r>
  <r>
    <x v="0"/>
    <s v="Diatraea_SAM_8"/>
    <x v="100"/>
    <n v="0.15241041899999999"/>
    <n v="-0.76580789500000002"/>
    <n v="0.20639898313457225"/>
    <n v="-0.61339747600000005"/>
    <n v="0.35128457800000001"/>
    <n v="-0.40699849286542777"/>
    <n v="0.39963204415214254"/>
    <n v="0.19931090200000001"/>
    <n v="-0.95194763900000001"/>
    <n v="0.1319356394463834"/>
    <n v="-0.75263673799999997"/>
    <n v="0.32024704100000001"/>
    <n v="-0.62070109755361658"/>
    <n v="0.34962201453145603"/>
    <n v="0.17586066"/>
    <n v="0.33576580900000003"/>
    <n v="-0.68301710699999996"/>
    <n v="-0.51384979520952223"/>
    <n v="0.37462702934179926"/>
    <x v="0"/>
    <n v="5.7899999999999998E-14"/>
    <n v="7.4200000000000002E-34"/>
    <n v="1.9699999999999999E-19"/>
    <n v="1"/>
  </r>
  <r>
    <x v="0"/>
    <s v="Diatraea_SAM_8"/>
    <x v="201"/>
    <n v="9.5247677000000003E-2"/>
    <n v="-0.76580789500000002"/>
    <n v="0.20639898313457225"/>
    <n v="-0.67056021799999999"/>
    <n v="0.33837140999999998"/>
    <n v="-0.46416123486542771"/>
    <n v="0.38599912873026188"/>
    <n v="0.105952451"/>
    <n v="-0.95194763900000001"/>
    <n v="0.1319356394463834"/>
    <n v="-0.84599518799999995"/>
    <n v="0.30027363200000001"/>
    <n v="-0.71405954855361664"/>
    <n v="0.32870244966943046"/>
    <n v="0.100600064"/>
    <n v="0.31932252100000003"/>
    <n v="-0.75827770299999997"/>
    <n v="-0.58911039170952217"/>
    <n v="0.3573507891998462"/>
    <x v="0"/>
    <n v="0.95440658899999997"/>
    <n v="2.24E-26"/>
    <n v="4.5592504999999998E-2"/>
    <n v="9.0599999999999999E-7"/>
  </r>
  <r>
    <x v="0"/>
    <s v="Diatraea_SAM_8"/>
    <x v="2"/>
    <n v="-1.9479672999999999E-2"/>
    <n v="-0.76580789500000002"/>
    <n v="0.20639898313457225"/>
    <n v="-0.78528756799999999"/>
    <n v="0.31318141500000002"/>
    <n v="-0.57888858486542771"/>
    <n v="0.3591883703485329"/>
    <n v="0.26033242099999998"/>
    <n v="-0.95194763900000001"/>
    <n v="0.1319356394463834"/>
    <n v="-0.691615219"/>
    <n v="0.33367385599999999"/>
    <n v="-0.55967957855361661"/>
    <n v="0.36362160229940621"/>
    <n v="0.120426374"/>
    <n v="0.32342763499999999"/>
    <n v="-0.7384513935"/>
    <n v="-0.56928408170952216"/>
    <n v="0.36140498632396956"/>
    <x v="1"/>
    <n v="2E-14"/>
    <n v="2.4500000000000002E-35"/>
    <n v="1.3600000000000001E-12"/>
    <n v="1"/>
  </r>
  <r>
    <x v="0"/>
    <s v="Diatraea_SAM_8"/>
    <x v="3"/>
    <n v="0.29707741700000001"/>
    <n v="-0.76580789500000002"/>
    <n v="0.20639898313457225"/>
    <n v="-0.46873047800000001"/>
    <n v="0.38491676600000002"/>
    <n v="-0.26233149486542773"/>
    <n v="0.43479066173416298"/>
    <n v="0.168449605"/>
    <n v="-0.95194763900000001"/>
    <n v="0.1319356394463834"/>
    <n v="-0.78349803500000004"/>
    <n v="0.31356646999999999"/>
    <n v="-0.65156239455361653"/>
    <n v="0.34263754170497962"/>
    <n v="0.23276351100000001"/>
    <n v="0.34924161799999998"/>
    <n v="-0.62611425649999997"/>
    <n v="-0.45694694470952213"/>
    <n v="0.38871410171957133"/>
    <x v="1"/>
    <n v="1.2099999999999999E-16"/>
    <n v="7.3199999999999999E-41"/>
    <n v="4.96E-19"/>
    <n v="1"/>
  </r>
  <r>
    <x v="0"/>
    <s v="Diatraea_SAM_8"/>
    <x v="202"/>
    <n v="-0.495916896"/>
    <n v="-0.76580789500000002"/>
    <n v="0.20639898313457225"/>
    <n v="-1.2617247899999999"/>
    <n v="0.220677122"/>
    <n v="-1.0553258078654277"/>
    <n v="0.258203711688136"/>
    <n v="-0.33470298399999998"/>
    <n v="-0.95194763900000001"/>
    <n v="0.1319356394463834"/>
    <n v="-1.2866506230000001"/>
    <n v="0.216420267"/>
    <n v="-1.1547149835536166"/>
    <n v="0.2396289261215829"/>
    <n v="-0.41530993999999999"/>
    <n v="0.21854869499999999"/>
    <n v="-1.2741877065"/>
    <n v="-1.1050203957095222"/>
    <n v="0.24891631890485943"/>
    <x v="0"/>
    <n v="9.7244510000000003E-3"/>
    <n v="1.21E-25"/>
    <n v="0.99026648100000003"/>
    <n v="9.0699999999999996E-6"/>
  </r>
  <r>
    <x v="0"/>
    <s v="Diatraea_SAM_8"/>
    <x v="203"/>
    <n v="0.105064033"/>
    <n v="-0.76580789500000002"/>
    <n v="0.20639898313457225"/>
    <n v="-0.66074386200000002"/>
    <n v="0.34057253300000001"/>
    <n v="-0.45434487886542774"/>
    <n v="0.38832823014967693"/>
    <n v="0.40942667100000002"/>
    <n v="-0.95194763900000001"/>
    <n v="0.1319356394463834"/>
    <n v="-0.54252096900000002"/>
    <n v="0.367601336"/>
    <n v="-0.41058532855361662"/>
    <n v="0.39877177865281715"/>
    <n v="0.25724535199999998"/>
    <n v="0.35408693400000002"/>
    <n v="-0.60163241550000002"/>
    <n v="-0.43246510370952218"/>
    <n v="0.39355000440124704"/>
    <x v="0"/>
    <n v="0.99966034999999998"/>
    <n v="4.0399999999999997E-11"/>
    <n v="3.3950199999999999E-4"/>
    <n v="1.48E-7"/>
  </r>
  <r>
    <x v="0"/>
    <s v="Diatraea_SAM_8"/>
    <x v="101"/>
    <n v="-0.201759837"/>
    <n v="-0.76580789500000002"/>
    <n v="0.20639898313457225"/>
    <n v="-0.96756773200000001"/>
    <n v="0.27536557"/>
    <n v="-0.76116874886542774"/>
    <n v="0.31839257198377785"/>
    <n v="-8.8914592000000001E-2"/>
    <n v="-0.95194763900000001"/>
    <n v="0.1319356394463834"/>
    <n v="-1.040862231"/>
    <n v="0.26098366000000001"/>
    <n v="-0.90892659155361655"/>
    <n v="0.28721954002799593"/>
    <n v="-0.14533721399999999"/>
    <n v="0.26817461500000001"/>
    <n v="-1.0042149815000001"/>
    <n v="-0.8350476702095222"/>
    <n v="0.30280605600588689"/>
    <x v="0"/>
    <n v="0.99634072399999996"/>
    <n v="1.5199999999999999E-24"/>
    <n v="2.7293439999999999E-3"/>
    <n v="9.2993100000000005E-4"/>
  </r>
  <r>
    <x v="0"/>
    <s v="Diatraea_SAM_8"/>
    <x v="204"/>
    <n v="0.21931868900000001"/>
    <n v="-0.76580789500000002"/>
    <n v="0.20639898313457225"/>
    <n v="-0.54648920599999995"/>
    <n v="0.366679323"/>
    <n v="-0.34009022286542767"/>
    <n v="0.41578756101837661"/>
    <n v="0.26033242099999998"/>
    <n v="-0.95194763900000001"/>
    <n v="0.1319356394463834"/>
    <n v="-0.691615219"/>
    <n v="0.33367385599999999"/>
    <n v="-0.55967957855361661"/>
    <n v="0.36362160229940621"/>
    <n v="0.239825555"/>
    <n v="0.35017659000000001"/>
    <n v="-0.61905221249999998"/>
    <n v="-0.44988490070952214"/>
    <n v="0.38970458165889144"/>
    <x v="0"/>
    <n v="8.5599999999999996E-14"/>
    <n v="2.7899999999999999E-37"/>
    <n v="7.6599999999999993E-18"/>
    <n v="1"/>
  </r>
  <r>
    <x v="0"/>
    <s v="Diatraea_SAM_8"/>
    <x v="205"/>
    <n v="0.220386941"/>
    <n v="-0.76580789500000002"/>
    <n v="0.20639898313457225"/>
    <n v="-0.54542095400000001"/>
    <n v="0.366927434"/>
    <n v="-0.33902197086542774"/>
    <n v="0.41604707157932735"/>
    <n v="0.13733520199999999"/>
    <n v="-0.95194763900000001"/>
    <n v="0.1319356394463834"/>
    <n v="-0.81461243699999997"/>
    <n v="0.30690848500000001"/>
    <n v="-0.68267679755361665"/>
    <n v="0.33566413121006511"/>
    <n v="0.17886107200000001"/>
    <n v="0.33691795899999999"/>
    <n v="-0.68001669549999999"/>
    <n v="-0.51084938420952219"/>
    <n v="0.3758556013946962"/>
    <x v="0"/>
    <n v="2.4400000000000001E-18"/>
    <n v="4.2100000000000001E-41"/>
    <n v="1.11E-22"/>
    <n v="1"/>
  </r>
  <r>
    <x v="0"/>
    <s v="Diatraea_SAM_9"/>
    <x v="206"/>
    <n v="-0.60837555200000004"/>
    <n v="-0.76580789500000002"/>
    <n v="0"/>
    <n v="-1.3741834470000001"/>
    <n v="0.20194478799999999"/>
    <n v="-1.3741834470000001"/>
    <n v="0.20194478843810321"/>
    <n v="-0.72961068699999998"/>
    <n v="-0.95194763900000001"/>
    <n v="0"/>
    <n v="-1.681558326"/>
    <n v="0.15688923099999999"/>
    <n v="-1.681558326"/>
    <n v="0.15688923108423797"/>
    <n v="-0.66899312"/>
    <n v="0.17941700999999999"/>
    <n v="-1.5278708865000001"/>
    <n v="-1.5278708865000001"/>
    <n v="0.17941700976117059"/>
    <x v="0"/>
    <n v="1.1599999999999999E-12"/>
    <n v="1"/>
    <n v="5.7700000000000003E-15"/>
    <n v="6.7900000000000004E-28"/>
  </r>
  <r>
    <x v="0"/>
    <s v="Diatraea_SAM_9"/>
    <x v="207"/>
    <n v="-0.24700471299999999"/>
    <n v="-0.76580789500000002"/>
    <n v="0"/>
    <n v="-1.0128126079999999"/>
    <n v="0.26642978"/>
    <n v="-1.0128126079999999"/>
    <n v="0.26642977972317267"/>
    <n v="-0.119093058"/>
    <n v="-0.95194763900000001"/>
    <n v="0"/>
    <n v="-1.071040698"/>
    <n v="0.25520522299999998"/>
    <n v="-1.0710406969999999"/>
    <n v="0.25520522276341068"/>
    <n v="-0.18304888599999999"/>
    <n v="0.26081750100000001"/>
    <n v="-1.041926653"/>
    <n v="-1.0419266524999999"/>
    <n v="0.26081750124329167"/>
    <x v="0"/>
    <n v="2.8500000000000002E-25"/>
    <n v="1"/>
    <n v="2.4800000000000002E-28"/>
    <n v="6.6899999999999996E-28"/>
  </r>
  <r>
    <x v="0"/>
    <s v="Diatraea_SAM_9"/>
    <x v="208"/>
    <n v="-0.87175937299999995"/>
    <n v="-0.76580789500000002"/>
    <n v="0"/>
    <n v="-1.637567268"/>
    <n v="0.162796357"/>
    <n v="-1.637567268"/>
    <n v="0.1627963567006509"/>
    <n v="-0.877199387"/>
    <n v="-0.95194763900000001"/>
    <n v="0"/>
    <n v="-1.829147026"/>
    <n v="0.13833991800000001"/>
    <n v="-1.829147026"/>
    <n v="0.13833991800428885"/>
    <n v="-0.87447938000000003"/>
    <n v="0.15056813699999999"/>
    <n v="-1.733357147"/>
    <n v="-1.733357147"/>
    <n v="0.15056813735246988"/>
    <x v="0"/>
    <n v="3.2899999999999998E-35"/>
    <n v="1"/>
    <n v="9.8500000000000005E-37"/>
    <n v="1.03E-43"/>
  </r>
  <r>
    <x v="0"/>
    <s v="Diatraea_SAM_9"/>
    <x v="209"/>
    <n v="-0.13924718799999999"/>
    <n v="-0.76580789500000002"/>
    <n v="0"/>
    <n v="-0.90505508300000004"/>
    <n v="0.28801278499999999"/>
    <n v="-0.90505508300000004"/>
    <n v="0.28801278505707617"/>
    <n v="-0.19143247599999999"/>
    <n v="-0.95194763900000001"/>
    <n v="0"/>
    <n v="-1.143380115"/>
    <n v="0.241700308"/>
    <n v="-1.143380115"/>
    <n v="0.24170030846177532"/>
    <n v="-0.16533983199999999"/>
    <n v="0.264856547"/>
    <n v="-1.024217599"/>
    <n v="-1.024217599"/>
    <n v="0.26485654675942572"/>
    <x v="0"/>
    <n v="1.4300000000000001E-16"/>
    <n v="7.6899999999999998E-40"/>
    <n v="8.6999999999999999E-21"/>
    <n v="1"/>
  </r>
  <r>
    <x v="0"/>
    <s v="Diatraea_SAM_9"/>
    <x v="210"/>
    <n v="5.0013500000000002E-2"/>
    <n v="-0.76580789500000002"/>
    <n v="0"/>
    <n v="-0.71579439499999997"/>
    <n v="0.32831975699999999"/>
    <n v="-0.71579439499999997"/>
    <n v="0.32831975722077383"/>
    <n v="1.9713644999999998E-2"/>
    <n v="-0.95194763900000001"/>
    <n v="0"/>
    <n v="-0.93223399399999995"/>
    <n v="0.28247170500000002"/>
    <n v="-0.93223399400000007"/>
    <n v="0.28247170542929995"/>
    <n v="3.4863572000000002E-2"/>
    <n v="0.305395731"/>
    <n v="-0.82401419449999991"/>
    <n v="-0.82401419450000002"/>
    <n v="0.30539573132503689"/>
    <x v="0"/>
    <n v="8.62E-17"/>
    <n v="2.5100000000000001E-35"/>
    <n v="4.0299999999999999E-19"/>
    <n v="1"/>
  </r>
  <r>
    <x v="0"/>
    <s v="Diatraea_SAM_9"/>
    <x v="211"/>
    <n v="2.1931722000000001E-2"/>
    <n v="-0.76580789500000002"/>
    <n v="0"/>
    <n v="-0.74387617299999997"/>
    <n v="0.32215711400000002"/>
    <n v="-0.74387617299999997"/>
    <n v="0.32215711362911553"/>
    <n v="1.9713644999999998E-2"/>
    <n v="-0.95194763900000001"/>
    <n v="0"/>
    <n v="-0.93223399399999995"/>
    <n v="0.28247170500000002"/>
    <n v="-0.93223399400000007"/>
    <n v="0.28247170542929995"/>
    <n v="2.0822684000000001E-2"/>
    <n v="0.30231440999999998"/>
    <n v="-0.83805508350000002"/>
    <n v="-0.83805508350000002"/>
    <n v="0.30231440952920774"/>
    <x v="0"/>
    <n v="5.9100000000000004E-16"/>
    <n v="1.37E-39"/>
    <n v="4.7799999999999998E-16"/>
    <n v="1"/>
  </r>
  <r>
    <x v="0"/>
    <s v="Diatraea_SAM_9"/>
    <x v="212"/>
    <n v="-0.23138514900000001"/>
    <n v="-0.76580789500000002"/>
    <n v="0"/>
    <n v="-0.99719304399999997"/>
    <n v="0.26949366000000002"/>
    <n v="-0.99719304400000008"/>
    <n v="0.26949366021933635"/>
    <n v="-0.19143247599999999"/>
    <n v="-0.95194763900000001"/>
    <n v="0"/>
    <n v="-1.143380115"/>
    <n v="0.241700308"/>
    <n v="-1.143380115"/>
    <n v="0.24170030846177532"/>
    <n v="-0.211408813"/>
    <n v="0.25559698400000003"/>
    <n v="-1.0702865795000001"/>
    <n v="-1.0702865795000001"/>
    <n v="0.25559698434055583"/>
    <x v="0"/>
    <n v="9.9700000000000003E-16"/>
    <n v="3.7600000000000002E-36"/>
    <n v="1.3599999999999999E-16"/>
    <n v="1"/>
  </r>
  <r>
    <x v="0"/>
    <s v="Diatraea_SAM_9"/>
    <x v="213"/>
    <n v="0.37227780300000002"/>
    <n v="-0.76580789500000002"/>
    <n v="0"/>
    <n v="-0.393530092"/>
    <n v="0.402867792"/>
    <n v="-0.393530092"/>
    <n v="0.40286779253925631"/>
    <n v="0.46164685999999999"/>
    <n v="-0.95194763900000001"/>
    <n v="0"/>
    <n v="-0.49030077999999999"/>
    <n v="0.37982271400000001"/>
    <n v="-0.49030077900000002"/>
    <n v="0.37982271437108833"/>
    <n v="0.41696233100000002"/>
    <n v="0.391345253"/>
    <n v="-0.44191543599999999"/>
    <n v="-0.44191543550000001"/>
    <n v="0.39134525345517235"/>
    <x v="0"/>
    <n v="3.8500000000000001E-8"/>
    <n v="0.99999996099999999"/>
    <n v="7.6299999999999998E-11"/>
    <n v="4.8899999999999997E-17"/>
  </r>
  <r>
    <x v="0"/>
    <s v="Diatraea_SAM_9"/>
    <x v="214"/>
    <n v="0.18098518199999999"/>
    <n v="-0.76580789500000002"/>
    <n v="0"/>
    <n v="-0.58482271299999999"/>
    <n v="0.357823644"/>
    <n v="-0.58482271299999999"/>
    <n v="0.357823644065621"/>
    <n v="8.6566986999999998E-2"/>
    <n v="-0.95194763900000001"/>
    <n v="0"/>
    <n v="-0.86538065200000003"/>
    <n v="0.29621639999999999"/>
    <n v="-0.86538065200000003"/>
    <n v="0.29621640046822623"/>
    <n v="0.13377608499999999"/>
    <n v="0.32702002200000002"/>
    <n v="-0.72510168250000007"/>
    <n v="-0.72510168250000007"/>
    <n v="0.32702002226692362"/>
    <x v="0"/>
    <n v="1.13E-17"/>
    <n v="5.5E-42"/>
    <n v="1.7999999999999999E-21"/>
    <n v="1"/>
  </r>
  <r>
    <x v="0"/>
    <s v="Diatraea_SAM_9"/>
    <x v="215"/>
    <n v="0.35673644700000001"/>
    <n v="-0.76580789500000002"/>
    <n v="0"/>
    <n v="-0.409071448"/>
    <n v="0.39913479099999999"/>
    <n v="-0.409071448"/>
    <n v="0.39913479138731217"/>
    <n v="0.216006329"/>
    <n v="-0.95194763900000001"/>
    <n v="0"/>
    <n v="-0.73594130999999996"/>
    <n v="0.32389230400000002"/>
    <n v="-0.73594131000000007"/>
    <n v="0.32389230432590566"/>
    <n v="0.286371388"/>
    <n v="0.36151354800000002"/>
    <n v="-0.57250637900000001"/>
    <n v="-0.57250637900000001"/>
    <n v="0.36151354785660894"/>
    <x v="0"/>
    <n v="6.4600000000000004E-16"/>
    <n v="2.7600000000000001E-37"/>
    <n v="1.8899999999999998E-20"/>
    <n v="1"/>
  </r>
  <r>
    <x v="0"/>
    <s v="Diatraea_SAM_9"/>
    <x v="216"/>
    <n v="0.28081162199999998"/>
    <n v="-0.76580789500000002"/>
    <n v="0"/>
    <n v="-0.48499627299999998"/>
    <n v="0.38107302399999998"/>
    <n v="-0.48499627300000003"/>
    <n v="0.38107302423612754"/>
    <n v="-0.19143247599999999"/>
    <n v="-0.95194763900000001"/>
    <n v="0"/>
    <n v="-1.143380115"/>
    <n v="0.241700308"/>
    <n v="-1.143380115"/>
    <n v="0.24170030846177532"/>
    <n v="4.4689573000000003E-2"/>
    <n v="0.31138666599999998"/>
    <n v="-0.81418819399999998"/>
    <n v="-0.81418819399999998"/>
    <n v="0.3113866663489514"/>
    <x v="0"/>
    <n v="0.18871089099999999"/>
    <n v="3.0499999999999998E-22"/>
    <n v="0.81128894600000001"/>
    <n v="1.6299999999999999E-7"/>
  </r>
  <r>
    <x v="0"/>
    <s v="Diatraea_SAM_9"/>
    <x v="217"/>
    <n v="-0.125007484"/>
    <n v="-0.76580789500000002"/>
    <n v="0"/>
    <n v="-0.89081537899999996"/>
    <n v="0.29094159000000003"/>
    <n v="-0.89081537899999996"/>
    <n v="0.29094159049572343"/>
    <n v="-4.8778665999999998E-2"/>
    <n v="-0.95194763900000001"/>
    <n v="0"/>
    <n v="-1.000726306"/>
    <n v="0.268798645"/>
    <n v="-1.0007263049999999"/>
    <n v="0.26879864510666851"/>
    <n v="-8.6893075E-2"/>
    <n v="0.279870118"/>
    <n v="-0.94577084249999999"/>
    <n v="-0.94577084199999994"/>
    <n v="0.27987011780119597"/>
    <x v="0"/>
    <n v="0.99407683300000005"/>
    <n v="7.4799999999999997E-23"/>
    <n v="5.9055669999999996E-3"/>
    <n v="1.7600000000000001E-5"/>
  </r>
  <r>
    <x v="0"/>
    <s v="Diatraea_SAM_9"/>
    <x v="2"/>
    <n v="7.8665135999999997E-2"/>
    <n v="-0.76580789500000002"/>
    <n v="0"/>
    <n v="-0.68714275899999999"/>
    <n v="0.334668982"/>
    <n v="-0.68714275899999999"/>
    <n v="0.33466898185548954"/>
    <n v="0.30991728899999998"/>
    <n v="-0.95194763900000001"/>
    <n v="0"/>
    <n v="-0.64203034999999997"/>
    <n v="0.34478772000000002"/>
    <n v="-0.64203034999999997"/>
    <n v="0.34478772032211025"/>
    <n v="0.19429121299999999"/>
    <n v="0.33972835099999998"/>
    <n v="-0.66458655450000004"/>
    <n v="-0.66458655450000004"/>
    <n v="0.3397283510887999"/>
    <x v="1"/>
    <n v="2E-14"/>
    <n v="2.4500000000000002E-35"/>
    <n v="1.3600000000000001E-12"/>
    <n v="1"/>
  </r>
  <r>
    <x v="0"/>
    <s v="Diatraea_SAM_9"/>
    <x v="3"/>
    <n v="0.31890234099999998"/>
    <n v="-0.76580789500000002"/>
    <n v="0"/>
    <n v="-0.44690555399999998"/>
    <n v="0.39009674999999999"/>
    <n v="-0.44690555400000004"/>
    <n v="0.39009674970256331"/>
    <n v="0.49139894899999997"/>
    <n v="-0.95194763900000001"/>
    <n v="0"/>
    <n v="-0.46054868999999998"/>
    <n v="0.38685566700000001"/>
    <n v="-0.46054869000000004"/>
    <n v="0.38685566741551569"/>
    <n v="0.40515064499999998"/>
    <n v="0.38847620900000002"/>
    <n v="-0.45372712199999998"/>
    <n v="-0.45372712200000004"/>
    <n v="0.38847620855903953"/>
    <x v="1"/>
    <n v="1.2099999999999999E-16"/>
    <n v="7.3199999999999999E-41"/>
    <n v="4.96E-19"/>
    <n v="1"/>
  </r>
  <r>
    <x v="0"/>
    <s v="Diatraea_SAM_9"/>
    <x v="218"/>
    <n v="0.25604908999999998"/>
    <n v="-0.76580789500000002"/>
    <n v="0"/>
    <n v="-0.50975880500000004"/>
    <n v="0.37525006900000002"/>
    <n v="-0.50975880500000004"/>
    <n v="0.37525006897184604"/>
    <n v="0.37125593200000001"/>
    <n v="-0.95194763900000001"/>
    <n v="0"/>
    <n v="-0.58069170699999995"/>
    <n v="0.35877344700000002"/>
    <n v="-0.58069170699999995"/>
    <n v="0.35877344742897249"/>
    <n v="0.31365251100000002"/>
    <n v="0.36701175800000002"/>
    <n v="-0.54522525599999994"/>
    <n v="-0.54522525599999994"/>
    <n v="0.36701175820040927"/>
    <x v="0"/>
    <n v="1.2399999999999999E-16"/>
    <n v="1.2E-42"/>
    <n v="5.3200000000000004E-19"/>
    <n v="1"/>
  </r>
  <r>
    <x v="0"/>
    <s v="Diatraea_SAM_9"/>
    <x v="219"/>
    <n v="0.22428405000000001"/>
    <n v="-0.76580789500000002"/>
    <n v="0"/>
    <n v="-0.54152384399999998"/>
    <n v="0.36783316799999999"/>
    <n v="-0.54152384499999995"/>
    <n v="0.36783316833614016"/>
    <n v="0.46164685999999999"/>
    <n v="-0.95194763900000001"/>
    <n v="0"/>
    <n v="-0.49030077999999999"/>
    <n v="0.37982271400000001"/>
    <n v="-0.49030077900000002"/>
    <n v="0.37982271437108833"/>
    <n v="0.34296545499999997"/>
    <n v="0.373827941"/>
    <n v="-0.51591231199999998"/>
    <n v="-0.51591231199999998"/>
    <n v="0.37382794135361425"/>
    <x v="0"/>
    <n v="0.647915197"/>
    <n v="2.28E-23"/>
    <n v="0.35208121100000001"/>
    <n v="3.5899999999999999E-6"/>
  </r>
  <r>
    <x v="1"/>
    <s v="Diatraea_Validation._V1"/>
    <x v="27"/>
    <n v="-0.38116305499999997"/>
    <n v="-0.57457681100000002"/>
    <n v="-0.79503465290812969"/>
    <n v="-0.95573986600000005"/>
    <n v="0.27773195499999997"/>
    <n v="-1.7507745189081296"/>
    <n v="0.1479495351891115"/>
    <n v="-0.74416074300000001"/>
    <n v="-0.80976737799999998"/>
    <n v="-0.92641011837371778"/>
    <n v="-1.553928121"/>
    <n v="0.174519649"/>
    <n v="-2.4803382393737179"/>
    <n v="7.7248088708456286E-2"/>
    <n v="-0.56266189899999997"/>
    <n v="0.22612580199999999"/>
    <n v="-1.2548339935000001"/>
    <n v="-2.1155563791409238"/>
    <n v="0.11259881194878389"/>
    <x v="1"/>
    <n v="1.64E-44"/>
    <n v="1"/>
    <n v="1.06E-47"/>
    <n v="1.25E-71"/>
  </r>
  <r>
    <x v="1"/>
    <s v="Diatraea_Validation._V1"/>
    <x v="2"/>
    <n v="0.36538108499999999"/>
    <n v="-0.57457681100000002"/>
    <n v="-0.79503465290812969"/>
    <n v="-0.209195727"/>
    <n v="0.44789096699999997"/>
    <n v="-1.0042303789081297"/>
    <n v="0.26811049183853858"/>
    <n v="0.64493841200000002"/>
    <n v="-0.80976737799999998"/>
    <n v="-0.92641011837371778"/>
    <n v="-0.16482896499999999"/>
    <n v="0.45888580099999998"/>
    <n v="-1.0912390843737176"/>
    <n v="0.2513850225441166"/>
    <n v="0.50515974900000005"/>
    <n v="0.45338838399999998"/>
    <n v="-0.187012346"/>
    <n v="-1.0477347316409236"/>
    <n v="0.25974775719132759"/>
    <x v="1"/>
    <n v="2E-14"/>
    <n v="2.4500000000000002E-35"/>
    <n v="1.3600000000000001E-12"/>
    <n v="1"/>
  </r>
  <r>
    <x v="1"/>
    <s v="Diatraea_Validation._V1"/>
    <x v="220"/>
    <n v="0.12953574200000001"/>
    <n v="-0.57457681100000002"/>
    <n v="-0.79503465290812969"/>
    <n v="-0.44504106900000001"/>
    <n v="0.39054044100000002"/>
    <n v="-1.2400757219081298"/>
    <n v="0.22442280551184249"/>
    <n v="0.45172387899999999"/>
    <n v="-0.80976737799999998"/>
    <n v="-0.92641011837371778"/>
    <n v="-0.35804349899999999"/>
    <n v="0.41143326200000002"/>
    <n v="-1.2844536173737178"/>
    <n v="0.21679307305766293"/>
    <n v="0.29062981100000002"/>
    <n v="0.400986852"/>
    <n v="-0.40154228400000003"/>
    <n v="-1.2622646696409237"/>
    <n v="0.2206079392847527"/>
    <x v="0"/>
    <n v="0.99994284099999997"/>
    <n v="2.8700000000000001E-30"/>
    <n v="5.7200000000000001E-5"/>
    <n v="1.8099999999999998E-15"/>
  </r>
  <r>
    <x v="1"/>
    <s v="Diatraea_Validation._V1"/>
    <x v="221"/>
    <n v="0.368992496"/>
    <n v="-0.57457681100000002"/>
    <n v="-0.79503465290812969"/>
    <n v="-0.20558431499999999"/>
    <n v="0.44878417999999998"/>
    <n v="-1.0006189679081297"/>
    <n v="0.26881974229912664"/>
    <n v="0.82375412800000003"/>
    <n v="-0.80976737799999998"/>
    <n v="-0.92641011837371778"/>
    <n v="1.3986751E-2"/>
    <n v="0.50349663099999997"/>
    <n v="-0.91242336837371774"/>
    <n v="0.28650419720303361"/>
    <n v="0.59637331199999999"/>
    <n v="0.47614040499999999"/>
    <n v="-9.5798781999999999E-2"/>
    <n v="-0.95652116814092369"/>
    <n v="0.27766196975108015"/>
    <x v="0"/>
    <n v="0.99342651699999995"/>
    <n v="1.9499999999999999E-29"/>
    <n v="6.5734829999999998E-3"/>
    <n v="3.3E-17"/>
  </r>
  <r>
    <x v="1"/>
    <s v="Diatraea_Validation._V1"/>
    <x v="222"/>
    <n v="-0.37578346200000001"/>
    <n v="-0.57457681100000002"/>
    <n v="-0.79503465290812969"/>
    <n v="-0.95036027300000003"/>
    <n v="0.27881237399999997"/>
    <n v="-1.7453949259081298"/>
    <n v="0.14862897435556807"/>
    <n v="-0.52636289199999997"/>
    <n v="-0.80976737799999998"/>
    <n v="-0.92641011837371778"/>
    <n v="-1.33613027"/>
    <n v="0.208147155"/>
    <n v="-2.2625403883737176"/>
    <n v="9.4273232195398779E-2"/>
    <n v="-0.45107317699999999"/>
    <n v="0.24347976399999999"/>
    <n v="-1.1432452715000001"/>
    <n v="-2.0039676571409237"/>
    <n v="0.12145110327548342"/>
    <x v="0"/>
    <n v="0.99889517999999999"/>
    <n v="5.56E-30"/>
    <n v="1.1048200000000001E-3"/>
    <n v="1.1200000000000001E-15"/>
  </r>
  <r>
    <x v="1"/>
    <s v="Diatraea_Validation._V1"/>
    <x v="223"/>
    <n v="8.4522869999999993E-3"/>
    <n v="-0.57457681100000002"/>
    <n v="-0.79503465290812969"/>
    <n v="-0.56612452400000002"/>
    <n v="0.362131551"/>
    <n v="-1.3611591769081297"/>
    <n v="0.20405197025311633"/>
    <n v="5.1325219999999998E-2"/>
    <n v="-0.80976737799999998"/>
    <n v="-0.92641011837371778"/>
    <n v="-0.75844215800000003"/>
    <n v="0.31898458600000001"/>
    <n v="-1.6848522763737179"/>
    <n v="0.15645401606682174"/>
    <n v="2.9888753000000001E-2"/>
    <n v="0.34055806799999999"/>
    <n v="-0.66228334099999997"/>
    <n v="-1.5230057266409238"/>
    <n v="0.18025299315996904"/>
    <x v="0"/>
    <n v="0.99977724899999998"/>
    <n v="1.49E-30"/>
    <n v="2.2275100000000001E-4"/>
    <n v="6.4500000000000003E-15"/>
  </r>
  <r>
    <x v="1"/>
    <s v="Diatraea_Validation._V1"/>
    <x v="224"/>
    <n v="-2.9392411E-2"/>
    <n v="-0.57457681100000002"/>
    <n v="-0.79503465290812969"/>
    <n v="-0.603969223"/>
    <n v="0.35343612400000002"/>
    <n v="-1.3990038749081297"/>
    <n v="0.19797422903188289"/>
    <n v="-0.27238426599999999"/>
    <n v="-0.80976737799999998"/>
    <n v="-0.92641011837371778"/>
    <n v="-1.0821516440000001"/>
    <n v="0.25309905399999999"/>
    <n v="-2.0085617623737178"/>
    <n v="0.11830691860115265"/>
    <n v="-0.15088833900000001"/>
    <n v="0.303267589"/>
    <n v="-0.84306043350000004"/>
    <n v="-1.7037828186409238"/>
    <n v="0.15814057381651778"/>
    <x v="0"/>
    <n v="0.99952289900000002"/>
    <n v="3.1799999999999999E-28"/>
    <n v="4.7710100000000001E-4"/>
    <n v="6.1999999999999997E-17"/>
  </r>
  <r>
    <x v="1"/>
    <s v="Diatraea_Validation._V1"/>
    <x v="225"/>
    <n v="-1.2047119E-2"/>
    <n v="-0.57457681100000002"/>
    <n v="-0.79503465290812969"/>
    <n v="-0.58662393000000002"/>
    <n v="0.35740985600000003"/>
    <n v="-1.3816585829081296"/>
    <n v="0.20074275615954887"/>
    <n v="-0.33252870899999998"/>
    <n v="-0.80976737799999998"/>
    <n v="-0.92641011837371778"/>
    <n v="-1.1422960870000001"/>
    <n v="0.24189904600000001"/>
    <n v="-2.0687062053737177"/>
    <n v="0.112175826042993"/>
    <n v="-0.17228791399999999"/>
    <n v="0.29965445099999999"/>
    <n v="-0.86446000850000004"/>
    <n v="-1.7251823941409237"/>
    <n v="0.15645929110127094"/>
    <x v="0"/>
    <n v="0.99996158700000004"/>
    <n v="1.46E-28"/>
    <n v="3.8399999999999998E-5"/>
    <n v="3.8600000000000001E-17"/>
  </r>
  <r>
    <x v="1"/>
    <s v="Diatraea_Validation._V1"/>
    <x v="226"/>
    <n v="0.40923943200000001"/>
    <n v="-0.57457681100000002"/>
    <n v="-0.79503465290812969"/>
    <n v="-0.16533737900000001"/>
    <n v="0.45875956000000001"/>
    <n v="-0.9603720319081297"/>
    <n v="0.2768037140729156"/>
    <n v="0.89206601299999999"/>
    <n v="-0.80976737799999998"/>
    <n v="-0.92641011837371778"/>
    <n v="8.2298634999999995E-2"/>
    <n v="0.52056305400000003"/>
    <n v="-0.84411148337371777"/>
    <n v="0.30066956530382277"/>
    <n v="0.65065272299999999"/>
    <n v="0.48966130699999999"/>
    <n v="-4.1519372000000006E-2"/>
    <n v="-0.90224175764092374"/>
    <n v="0.28873663968836916"/>
    <x v="0"/>
    <n v="0.99994829100000004"/>
    <n v="3.2799999999999998E-31"/>
    <n v="5.1700000000000003E-5"/>
    <n v="5.1E-16"/>
  </r>
  <r>
    <x v="1"/>
    <s v="Diatraea_Validation._V1"/>
    <x v="227"/>
    <n v="-0.14860484900000001"/>
    <n v="-0.57457681100000002"/>
    <n v="-0.79503465290812969"/>
    <n v="-0.72318165999999995"/>
    <n v="0.32669274500000001"/>
    <n v="-1.5182163129081299"/>
    <n v="0.17972432658491197"/>
    <n v="-0.33252870899999998"/>
    <n v="-0.80976737799999998"/>
    <n v="-0.92641011837371778"/>
    <n v="-1.1422960870000001"/>
    <n v="0.24189904600000001"/>
    <n v="-2.0687062053737177"/>
    <n v="0.112175826042993"/>
    <n v="-0.24056677900000001"/>
    <n v="0.28429589500000002"/>
    <n v="-0.93273887349999995"/>
    <n v="-1.7934612591409238"/>
    <n v="0.14595007631395249"/>
    <x v="0"/>
    <n v="0.99557966200000003"/>
    <n v="5.6999999999999998E-30"/>
    <n v="4.4203380000000002E-3"/>
    <n v="2.2200000000000002E-15"/>
  </r>
  <r>
    <x v="1"/>
    <s v="Diatraea_Validation._V1"/>
    <x v="228"/>
    <n v="1.993501E-3"/>
    <n v="-0.57457681100000002"/>
    <n v="-0.79503465290812969"/>
    <n v="-0.57258331100000004"/>
    <n v="0.36064095299999999"/>
    <n v="-1.3676179629081298"/>
    <n v="0.20300497298952588"/>
    <n v="5.1325219999999998E-2"/>
    <n v="-0.80976737799999998"/>
    <n v="-0.92641011837371778"/>
    <n v="-0.75844215800000003"/>
    <n v="0.31898458600000001"/>
    <n v="-1.6848522763737179"/>
    <n v="0.15645401606682174"/>
    <n v="2.665936E-2"/>
    <n v="0.33981276999999999"/>
    <n v="-0.66551273450000004"/>
    <n v="-1.5262351196409238"/>
    <n v="0.17972949452817383"/>
    <x v="0"/>
    <n v="0.99937750999999997"/>
    <n v="1.83E-27"/>
    <n v="6.2248999999999996E-4"/>
    <n v="5.1100000000000001E-17"/>
  </r>
  <r>
    <x v="1"/>
    <s v="Diatraea_Validation._V1"/>
    <x v="229"/>
    <n v="0.159292135"/>
    <n v="-0.57457681100000002"/>
    <n v="-0.79503465290812969"/>
    <n v="-0.41528467600000002"/>
    <n v="0.39764563400000003"/>
    <n v="-1.2103193289081298"/>
    <n v="0.22964455425931707"/>
    <n v="0.194059971"/>
    <n v="-0.80976737799999998"/>
    <n v="-0.92641011837371778"/>
    <n v="-0.61570740700000004"/>
    <n v="0.35075836300000002"/>
    <n v="-1.5421175253737176"/>
    <n v="0.176227659719561"/>
    <n v="0.176676053"/>
    <n v="0.37420199900000001"/>
    <n v="-0.51549604150000006"/>
    <n v="-1.3762184271409237"/>
    <n v="0.20293610698943904"/>
    <x v="0"/>
    <n v="4.5038965E-2"/>
    <n v="2.3499999999999999E-29"/>
    <n v="0.95496103499999996"/>
    <n v="6.6299999999999996E-19"/>
  </r>
  <r>
    <x v="1"/>
    <s v="Diatraea_Validation._V1"/>
    <x v="230"/>
    <n v="-0.106101662"/>
    <n v="-0.57457681100000002"/>
    <n v="-0.79503465290812969"/>
    <n v="-0.68067847299999995"/>
    <n v="0.33610989099999999"/>
    <n v="-1.4757131259081298"/>
    <n v="0.18607579966482576"/>
    <n v="-0.10328288100000001"/>
    <n v="-0.80976737799999998"/>
    <n v="-0.92641011837371778"/>
    <n v="-0.91305025900000003"/>
    <n v="0.28637606599999998"/>
    <n v="-1.8394603773737179"/>
    <n v="0.13711512529188546"/>
    <n v="-0.104692271"/>
    <n v="0.311242978"/>
    <n v="-0.79686436599999999"/>
    <n v="-1.6575867516409239"/>
    <n v="0.1615954624783556"/>
    <x v="0"/>
    <n v="0.99886896599999997"/>
    <n v="4.06E-26"/>
    <n v="1.1310339999999999E-3"/>
    <n v="1.31E-15"/>
  </r>
  <r>
    <x v="1"/>
    <s v="Diatraea_Validation._V1"/>
    <x v="231"/>
    <n v="-0.27699853499999999"/>
    <n v="-0.57457681100000002"/>
    <n v="-0.79503465290812969"/>
    <n v="-0.85157534599999996"/>
    <n v="0.29910249700000002"/>
    <n v="-1.6466099989081298"/>
    <n v="0.16156764443399318"/>
    <n v="-0.52636289199999997"/>
    <n v="-0.80976737799999998"/>
    <n v="-0.92641011837371778"/>
    <n v="-1.33613027"/>
    <n v="0.208147155"/>
    <n v="-2.2625403883737176"/>
    <n v="9.4273232195398779E-2"/>
    <n v="-0.40168071399999999"/>
    <n v="0.25362482600000003"/>
    <n v="-1.0938528079999998"/>
    <n v="-1.9545751936409237"/>
    <n v="0.12792043831469599"/>
    <x v="0"/>
    <n v="0.99880811300000005"/>
    <n v="5.4499999999999998E-30"/>
    <n v="1.191887E-3"/>
    <n v="1.4199999999999999E-16"/>
  </r>
  <r>
    <x v="1"/>
    <s v="Diatraea_Validation._V1"/>
    <x v="232"/>
    <n v="-1.9141623999999999E-2"/>
    <n v="-0.57457681100000002"/>
    <n v="-0.79503465290812969"/>
    <n v="-0.59371843499999999"/>
    <n v="0.35578212799999998"/>
    <n v="-1.3887530879081296"/>
    <n v="0.19960689387408875"/>
    <n v="-5.0279259999999999E-2"/>
    <n v="-0.80976737799999998"/>
    <n v="-0.92641011837371778"/>
    <n v="-0.86004663699999995"/>
    <n v="0.29732960200000003"/>
    <n v="-1.7864567563737177"/>
    <n v="0.14350768512472842"/>
    <n v="-3.4710442000000001E-2"/>
    <n v="0.326555865"/>
    <n v="-0.72688253599999997"/>
    <n v="-1.5876049221409236"/>
    <n v="0.17155728949940857"/>
    <x v="0"/>
    <n v="0.99998972600000002"/>
    <n v="4.9300000000000004E-28"/>
    <n v="1.03E-5"/>
    <n v="7.5699999999999996E-15"/>
  </r>
  <r>
    <x v="1"/>
    <s v="Diatraea_Validation._V1"/>
    <x v="233"/>
    <n v="-2.9568601999999999E-2"/>
    <n v="-0.57457681100000002"/>
    <n v="-0.79503465290812969"/>
    <n v="-0.60414541300000002"/>
    <n v="0.35339586200000001"/>
    <n v="-1.3991800659081297"/>
    <n v="0.19794625483719136"/>
    <n v="1.224688E-3"/>
    <n v="-0.80976737799999998"/>
    <n v="-0.92641011837371778"/>
    <n v="-0.80854269000000001"/>
    <n v="0.30820112700000002"/>
    <n v="-1.7349528083737178"/>
    <n v="0.14995515701557569"/>
    <n v="-1.4171957000000001E-2"/>
    <n v="0.330798494"/>
    <n v="-0.70634405150000001"/>
    <n v="-1.5670664371409238"/>
    <n v="0.17395070592638351"/>
    <x v="0"/>
    <n v="0.89359209299999998"/>
    <n v="1.3800000000000001E-26"/>
    <n v="0.106407907"/>
    <n v="1.8400000000000001E-16"/>
  </r>
  <r>
    <x v="1"/>
    <s v="Diatraea_Validation._V2"/>
    <x v="27"/>
    <n v="-0.39653424900000001"/>
    <n v="-0.57457681100000002"/>
    <n v="6.8561155351637995E-2"/>
    <n v="-0.97111106000000003"/>
    <n v="0.27465909999999999"/>
    <n v="-0.90254990464836204"/>
    <n v="0.2885267731816647"/>
    <n v="-0.667360697"/>
    <n v="-0.80976737799999998"/>
    <n v="-0.32903365650294131"/>
    <n v="-1.477128075"/>
    <n v="0.18586159899999999"/>
    <n v="-1.8061617315029412"/>
    <n v="0.14110265536083474"/>
    <n v="-0.531947473"/>
    <n v="0.230260349"/>
    <n v="-1.2241195675000001"/>
    <n v="-1.3543558180756516"/>
    <n v="0.21481471427124971"/>
    <x v="1"/>
    <n v="1.64E-44"/>
    <n v="1"/>
    <n v="1.06E-47"/>
    <n v="1.25E-71"/>
  </r>
  <r>
    <x v="1"/>
    <s v="Diatraea_Validation._V2"/>
    <x v="2"/>
    <n v="8.2452473999999998E-2"/>
    <n v="-0.57457681100000002"/>
    <n v="6.8561155351637995E-2"/>
    <n v="-0.49212433700000002"/>
    <n v="0.37939325600000001"/>
    <n v="-0.42356318164836204"/>
    <n v="0.39566442724072465"/>
    <n v="0.28199806900000002"/>
    <n v="-0.80976737799999998"/>
    <n v="-0.32903365650294131"/>
    <n v="-0.52776930899999996"/>
    <n v="0.37103731099999998"/>
    <n v="-0.85680296550294122"/>
    <n v="0.29800773027194594"/>
    <n v="0.18222527199999999"/>
    <n v="0.37521528399999998"/>
    <n v="-0.50994682299999994"/>
    <n v="-0.64018307357565163"/>
    <n v="0.34683607875633526"/>
    <x v="1"/>
    <n v="2E-14"/>
    <n v="2.4500000000000002E-35"/>
    <n v="1.3600000000000001E-12"/>
    <n v="1"/>
  </r>
  <r>
    <x v="1"/>
    <s v="Diatraea_Validation._V2"/>
    <x v="234"/>
    <n v="7.9631803000000001E-2"/>
    <n v="-0.57457681100000002"/>
    <n v="6.8561155351637995E-2"/>
    <n v="-0.49494500899999999"/>
    <n v="0.37872934400000002"/>
    <n v="-0.42638385264836204"/>
    <n v="0.39499016394654279"/>
    <n v="0.17841332300000001"/>
    <n v="-0.80976737799999998"/>
    <n v="-0.32903365650294131"/>
    <n v="-0.63135405499999997"/>
    <n v="0.34720357299999999"/>
    <n v="-0.96038771150294133"/>
    <n v="0.2768005752890188"/>
    <n v="0.12902256300000001"/>
    <n v="0.36296645900000002"/>
    <n v="-0.56314953199999995"/>
    <n v="-0.69338578207565171"/>
    <n v="0.33589536961778077"/>
    <x v="0"/>
    <n v="0.99689528699999996"/>
    <n v="5.3200000000000003E-30"/>
    <n v="3.1047129999999998E-3"/>
    <n v="9.9100000000000005E-15"/>
  </r>
  <r>
    <x v="1"/>
    <s v="Diatraea_Validation._V2"/>
    <x v="235"/>
    <n v="8.7570620000000002E-2"/>
    <n v="-0.57457681100000002"/>
    <n v="6.8561155351637995E-2"/>
    <n v="-0.487006192"/>
    <n v="0.38059908599999998"/>
    <n v="-0.41844503564836205"/>
    <n v="0.39688889925592324"/>
    <n v="-0.201910221"/>
    <n v="-0.80976737799999998"/>
    <n v="-0.32903365650294131"/>
    <n v="-1.011677599"/>
    <n v="0.26665167000000001"/>
    <n v="-1.3407112555029412"/>
    <n v="0.20739311718522344"/>
    <n v="-5.7169800999999999E-2"/>
    <n v="0.32362537800000002"/>
    <n v="-0.74934189549999997"/>
    <n v="-0.87957814557565162"/>
    <n v="0.30214100822057333"/>
    <x v="0"/>
    <n v="0.99974340900000003"/>
    <n v="7.5500000000000003E-24"/>
    <n v="2.5659100000000002E-4"/>
    <n v="1.0499999999999999E-15"/>
  </r>
  <r>
    <x v="1"/>
    <s v="Diatraea_Validation._V2"/>
    <x v="236"/>
    <n v="3.0920420000000001E-3"/>
    <n v="-0.57457681100000002"/>
    <n v="6.8561155351637995E-2"/>
    <n v="-0.57148476999999998"/>
    <n v="0.36089429299999998"/>
    <n v="-0.50292361364836202"/>
    <n v="0.37685385512257252"/>
    <n v="0.38201919200000001"/>
    <n v="-0.80976737799999998"/>
    <n v="-0.32903365650294131"/>
    <n v="-0.42774818599999997"/>
    <n v="0.39466417199999998"/>
    <n v="-0.75678184250294134"/>
    <n v="0.3193453704457449"/>
    <n v="0.19255561700000001"/>
    <n v="0.37777923200000002"/>
    <n v="-0.49961647799999997"/>
    <n v="-0.62985272807565162"/>
    <n v="0.34809961278415869"/>
    <x v="0"/>
    <n v="0.99695645200000005"/>
    <n v="1.7E-33"/>
    <n v="3.0435480000000001E-3"/>
    <n v="3.5099999999999997E-14"/>
  </r>
  <r>
    <x v="1"/>
    <s v="Diatraea_Validation._V2"/>
    <x v="237"/>
    <n v="-0.236046859"/>
    <n v="-0.57457681100000002"/>
    <n v="6.8561155351637995E-2"/>
    <n v="-0.81062367099999999"/>
    <n v="0.30775761099999999"/>
    <n v="-0.74206251464836204"/>
    <n v="0.32255329334107763"/>
    <n v="-0.201910221"/>
    <n v="-0.80976737799999998"/>
    <n v="-0.32903365650294131"/>
    <n v="-1.011677599"/>
    <n v="0.26665167000000001"/>
    <n v="-1.3407112555029412"/>
    <n v="0.20739311718522344"/>
    <n v="-0.21897854"/>
    <n v="0.28720464099999998"/>
    <n v="-0.91115063500000004"/>
    <n v="-1.0413868850756516"/>
    <n v="0.26497320526315055"/>
    <x v="0"/>
    <n v="0.99975845600000002"/>
    <n v="1.6500000000000001E-29"/>
    <n v="2.41544E-4"/>
    <n v="5.4300000000000005E-16"/>
  </r>
  <r>
    <x v="1"/>
    <s v="Diatraea_Validation._V2"/>
    <x v="238"/>
    <n v="4.9479956999999998E-2"/>
    <n v="-0.57457681100000002"/>
    <n v="6.8561155351637995E-2"/>
    <n v="-0.52509685399999995"/>
    <n v="0.371661193"/>
    <n v="-0.45653569864836208"/>
    <n v="0.38780797349676877"/>
    <n v="-0.51542038000000001"/>
    <n v="-0.80976737799999998"/>
    <n v="-0.32903365650294131"/>
    <n v="-1.3251877569999999"/>
    <n v="0.209956481"/>
    <n v="-1.6542214145029412"/>
    <n v="0.16053922923813005"/>
    <n v="-0.23297021100000001"/>
    <n v="0.29080883699999999"/>
    <n v="-0.92514230549999987"/>
    <n v="-1.0553785565756517"/>
    <n v="0.27417360136744939"/>
    <x v="0"/>
    <n v="0.999973055"/>
    <n v="5.5800000000000001E-27"/>
    <n v="2.69E-5"/>
    <n v="3.6699999999999997E-17"/>
  </r>
  <r>
    <x v="1"/>
    <s v="Diatraea_Validation._V2"/>
    <x v="239"/>
    <n v="-0.22212749200000001"/>
    <n v="-0.57457681100000002"/>
    <n v="6.8561155351637995E-2"/>
    <n v="-0.79670430299999995"/>
    <n v="0.31073094099999998"/>
    <n v="-0.72814314764836208"/>
    <n v="0.32560233307155778"/>
    <n v="-0.120573557"/>
    <n v="-0.80976737799999998"/>
    <n v="-0.32903365650294131"/>
    <n v="-0.93034093500000004"/>
    <n v="0.28285555099999998"/>
    <n v="-1.2593745915029413"/>
    <n v="0.22108157159727951"/>
    <n v="-0.171350524"/>
    <n v="0.29679324600000001"/>
    <n v="-0.86352261900000005"/>
    <n v="-0.99375886957565163"/>
    <n v="0.27334195233441866"/>
    <x v="0"/>
    <n v="0.99540214400000004"/>
    <n v="8.9499999999999999E-29"/>
    <n v="4.597856E-3"/>
    <n v="3.5600000000000002E-17"/>
  </r>
  <r>
    <x v="1"/>
    <s v="Diatraea_Validation._V2"/>
    <x v="240"/>
    <n v="0.103888059"/>
    <n v="-0.57457681100000002"/>
    <n v="6.8561155351637995E-2"/>
    <n v="-0.47068875199999999"/>
    <n v="0.38445323799999997"/>
    <n v="-0.40212759664836206"/>
    <n v="0.4008012694311664"/>
    <n v="3.3613694999999999E-2"/>
    <n v="-0.80976737799999998"/>
    <n v="-0.32903365650294131"/>
    <n v="-0.77615368299999998"/>
    <n v="0.31514944700000003"/>
    <n v="-1.1051873395029412"/>
    <n v="0.24876920553657669"/>
    <n v="6.8750877000000002E-2"/>
    <n v="0.34980134200000002"/>
    <n v="-0.62342121750000001"/>
    <n v="-0.75365746807565159"/>
    <n v="0.32478523748387156"/>
    <x v="0"/>
    <n v="0.99580582799999995"/>
    <n v="1.31E-24"/>
    <n v="4.1941720000000004E-3"/>
    <n v="2.9100000000000001E-17"/>
  </r>
  <r>
    <x v="1"/>
    <s v="Diatraea_Validation._V2"/>
    <x v="241"/>
    <n v="-3.1067502E-2"/>
    <n v="-0.57457681100000002"/>
    <n v="6.8561155351637995E-2"/>
    <n v="-0.60564431299999999"/>
    <n v="0.353053428"/>
    <n v="-0.53708315764836201"/>
    <n v="0.36886637463322292"/>
    <n v="3.3613694999999999E-2"/>
    <n v="-0.80976737799999998"/>
    <n v="-0.32903365650294131"/>
    <n v="-0.77615368299999998"/>
    <n v="0.31514944700000003"/>
    <n v="-1.1051873395029412"/>
    <n v="0.24876920553657669"/>
    <n v="1.2730969999999999E-3"/>
    <n v="0.334101437"/>
    <n v="-0.69089899799999999"/>
    <n v="-0.82113524857565157"/>
    <n v="0.30881779008489979"/>
    <x v="0"/>
    <n v="1.3400000000000001E-6"/>
    <n v="2.33E-34"/>
    <n v="0.99999865899999996"/>
    <n v="3.9899999999999998E-23"/>
  </r>
  <r>
    <x v="1"/>
    <s v="Diatraea_Validation._V2"/>
    <x v="242"/>
    <n v="-7.2258929E-2"/>
    <n v="-0.57457681100000002"/>
    <n v="6.8561155351637995E-2"/>
    <n v="-0.64683574099999996"/>
    <n v="0.34370295000000001"/>
    <n v="-0.57827458464836201"/>
    <n v="0.35932970827406424"/>
    <n v="0.28199806900000002"/>
    <n v="-0.80976737799999998"/>
    <n v="-0.32903365650294131"/>
    <n v="-0.52776930899999996"/>
    <n v="0.37103731099999998"/>
    <n v="-0.85680296550294122"/>
    <n v="0.29800773027194594"/>
    <n v="0.10486957"/>
    <n v="0.35737013099999998"/>
    <n v="-0.58730252499999991"/>
    <n v="-0.71753877507565167"/>
    <n v="0.32866871927300512"/>
    <x v="0"/>
    <n v="0.97404466099999998"/>
    <n v="9.63E-29"/>
    <n v="2.5955339000000001E-2"/>
    <n v="8.8E-16"/>
  </r>
  <r>
    <x v="1"/>
    <s v="Diatraea_Validation._V2"/>
    <x v="243"/>
    <n v="-1.2330304E-2"/>
    <n v="-0.57457681100000002"/>
    <n v="6.8561155351637995E-2"/>
    <n v="-0.58690711600000001"/>
    <n v="0.35734482000000001"/>
    <n v="-0.51834595964836205"/>
    <n v="0.37323908491079016"/>
    <n v="-0.120573557"/>
    <n v="-0.80976737799999998"/>
    <n v="-0.32903365650294131"/>
    <n v="-0.93034093500000004"/>
    <n v="0.28285555099999998"/>
    <n v="-1.2593745915029413"/>
    <n v="0.22108157159727951"/>
    <n v="-6.6451931000000006E-2"/>
    <n v="0.32010018600000001"/>
    <n v="-0.75862402550000008"/>
    <n v="-0.88886027557565161"/>
    <n v="0.29716032825403482"/>
    <x v="0"/>
    <n v="0.25975867400000002"/>
    <n v="2.2499999999999999E-26"/>
    <n v="0.74024132600000003"/>
    <n v="1.23E-16"/>
  </r>
  <r>
    <x v="1"/>
    <s v="Diatraea_Validation._V2"/>
    <x v="244"/>
    <n v="0.12802795"/>
    <n v="-0.57457681100000002"/>
    <n v="6.8561155351637995E-2"/>
    <n v="-0.44654886100000002"/>
    <n v="0.39018161800000001"/>
    <n v="-0.37798770564836204"/>
    <n v="0.4066123295296098"/>
    <n v="0.63537248999999996"/>
    <n v="-0.80976737799999998"/>
    <n v="-0.32903365650294131"/>
    <n v="-0.174394888"/>
    <n v="0.45651144300000002"/>
    <n v="-0.50342854450294139"/>
    <n v="0.37673528704681958"/>
    <n v="0.38170021999999998"/>
    <n v="0.42334653"/>
    <n v="-0.31047187450000002"/>
    <n v="-0.44070812507565171"/>
    <n v="0.39167380828821469"/>
    <x v="0"/>
    <n v="0.99955296699999996"/>
    <n v="1.5399999999999999E-26"/>
    <n v="4.47033E-4"/>
    <n v="6.54E-17"/>
  </r>
  <r>
    <x v="1"/>
    <s v="Diatraea_Validation._V2"/>
    <x v="245"/>
    <n v="0.28399458500000002"/>
    <n v="-0.57457681100000002"/>
    <n v="6.8561155351637995E-2"/>
    <n v="-0.29058222700000003"/>
    <n v="0.42786133399999998"/>
    <n v="-0.22202107064836202"/>
    <n v="0.44472161741982158"/>
    <n v="7.0612800000000003E-2"/>
    <n v="-0.80976737799999998"/>
    <n v="-0.32903365650294131"/>
    <n v="-0.73915457799999995"/>
    <n v="0.32318904199999998"/>
    <n v="-1.0681882345029412"/>
    <n v="0.25574778453296748"/>
    <n v="0.17730369300000001"/>
    <n v="0.37552518800000001"/>
    <n v="-0.51486840249999999"/>
    <n v="-0.64510465257565164"/>
    <n v="0.35023470097639453"/>
    <x v="0"/>
    <n v="0.99980843100000005"/>
    <n v="2.14E-26"/>
    <n v="1.9156899999999999E-4"/>
    <n v="9.5699999999999995E-17"/>
  </r>
  <r>
    <x v="1"/>
    <s v="Diatraea_Validation._V2"/>
    <x v="246"/>
    <n v="0.221057643"/>
    <n v="-0.57457681100000002"/>
    <n v="6.8561155351637995E-2"/>
    <n v="-0.35351916799999999"/>
    <n v="0.41252929300000002"/>
    <n v="-0.28495801264836207"/>
    <n v="0.42923867467524968"/>
    <n v="0.14298348799999999"/>
    <n v="-0.80976737799999998"/>
    <n v="-0.32903365650294131"/>
    <n v="-0.66678388899999996"/>
    <n v="0.339217355"/>
    <n v="-0.9958175465029413"/>
    <n v="0.26976453588894406"/>
    <n v="0.18202056599999999"/>
    <n v="0.37587332400000001"/>
    <n v="-0.51015152850000001"/>
    <n v="-0.64038777957565163"/>
    <n v="0.34950160528209684"/>
    <x v="0"/>
    <n v="1.68E-6"/>
    <n v="6.9300000000000005E-33"/>
    <n v="0.99999832300000002"/>
    <n v="9.2199999999999996E-24"/>
  </r>
  <r>
    <x v="1"/>
    <s v="Diatraea_Validation._V2"/>
    <x v="247"/>
    <n v="-4.4437628999999999E-2"/>
    <n v="-0.57457681100000002"/>
    <n v="6.8561155351637995E-2"/>
    <n v="-0.61901444000000005"/>
    <n v="0.35000563499999998"/>
    <n v="-0.55045328464836207"/>
    <n v="0.36575924988186614"/>
    <n v="-8.1026253000000006E-2"/>
    <n v="-0.80976737799999998"/>
    <n v="-0.32903365650294131"/>
    <n v="-0.89079363099999997"/>
    <n v="0.29094607700000003"/>
    <n v="-1.2198272875029412"/>
    <n v="0.22796684619275401"/>
    <n v="-6.2731940999999999E-2"/>
    <n v="0.320475856"/>
    <n v="-0.75490403550000007"/>
    <n v="-0.88514028607565165"/>
    <n v="0.29686304803731006"/>
    <x v="0"/>
    <n v="0.99993084200000004"/>
    <n v="9.0199999999999997E-26"/>
    <n v="6.9200000000000002E-5"/>
    <n v="5.1099999999999998E-18"/>
  </r>
  <r>
    <x v="1"/>
    <s v="Diatraea_Validation._V3"/>
    <x v="248"/>
    <n v="-0.27998945200000003"/>
    <n v="-0.57457681100000002"/>
    <n v="-0.27945122320506655"/>
    <n v="-0.85456626400000002"/>
    <n v="0.29847585799999998"/>
    <n v="-1.1340174862050665"/>
    <n v="0.24342045031568443"/>
    <n v="-0.162036238"/>
    <n v="-0.80976737799999998"/>
    <n v="-0.27877632987391054"/>
    <n v="-0.97180361599999998"/>
    <n v="0.27452114900000002"/>
    <n v="-1.2505799458739104"/>
    <n v="0.22259976356339195"/>
    <n v="-0.22101284500000001"/>
    <n v="0.28649850300000002"/>
    <n v="-0.91318494000000006"/>
    <n v="-1.1922987160394884"/>
    <n v="0.23301010693953819"/>
    <x v="1"/>
    <m/>
    <m/>
    <m/>
    <m/>
  </r>
  <r>
    <x v="1"/>
    <s v="Diatraea_Validation._V3"/>
    <x v="27"/>
    <n v="-0.57973433200000002"/>
    <n v="-0.57457681100000002"/>
    <n v="-0.27945122320506655"/>
    <n v="-1.1543111429999999"/>
    <n v="0.239702516"/>
    <n v="-1.4337623662050667"/>
    <n v="0.19251314080446605"/>
    <n v="-1.1845719079999999"/>
    <n v="-0.80976737799999998"/>
    <n v="-0.27877632987391054"/>
    <n v="-1.994339286"/>
    <n v="0.11979854299999999"/>
    <n v="-2.2731156158739103"/>
    <n v="9.337412418177235E-2"/>
    <n v="-0.88215312000000001"/>
    <n v="0.17975052999999999"/>
    <n v="-1.5743252145"/>
    <n v="-1.8534389910394884"/>
    <n v="0.1429436324931192"/>
    <x v="1"/>
    <n v="1.64E-44"/>
    <n v="1"/>
    <n v="1.06E-47"/>
    <n v="1.25E-71"/>
  </r>
  <r>
    <x v="1"/>
    <s v="Diatraea_Validation._V3"/>
    <x v="249"/>
    <n v="0.15402905"/>
    <n v="-0.57457681100000002"/>
    <n v="-0.27945122320506655"/>
    <n v="-0.42054776100000002"/>
    <n v="0.39638568299999999"/>
    <n v="-0.69999898420506657"/>
    <n v="0.33181245304668577"/>
    <n v="0.17077848700000001"/>
    <n v="-0.80976737799999998"/>
    <n v="-0.27877632987391054"/>
    <n v="-0.638988891"/>
    <n v="0.34547513800000001"/>
    <n v="-0.91776522087391055"/>
    <n v="0.28541346469437795"/>
    <n v="0.162403769"/>
    <n v="0.37093040999999999"/>
    <n v="-0.52976832600000001"/>
    <n v="-0.80888210253948856"/>
    <n v="0.30861295887053186"/>
    <x v="0"/>
    <n v="2E-14"/>
    <n v="2.4500000000000002E-35"/>
    <n v="1.3600000000000001E-12"/>
    <n v="1"/>
  </r>
  <r>
    <x v="1"/>
    <s v="Diatraea_Validation._V3"/>
    <x v="250"/>
    <n v="0.294516098"/>
    <n v="-0.57457681100000002"/>
    <n v="-0.27945122320506655"/>
    <n v="-0.28006071300000002"/>
    <n v="0.43043889200000002"/>
    <n v="-0.55951193620506656"/>
    <n v="0.36366039578204734"/>
    <n v="0.27283996199999999"/>
    <n v="-0.80976737799999998"/>
    <n v="-0.27877632987391054"/>
    <n v="-0.53692741600000005"/>
    <n v="0.36890263299999998"/>
    <n v="-0.81570374587391048"/>
    <n v="0.30667639566062882"/>
    <n v="0.28367803000000003"/>
    <n v="0.39967076200000001"/>
    <n v="-0.40849406450000003"/>
    <n v="-0.68760784103948858"/>
    <n v="0.33516839572133805"/>
    <x v="0"/>
    <n v="0.99611760800000004"/>
    <n v="3.3600000000000003E-29"/>
    <n v="3.8823920000000001E-3"/>
    <n v="3.9599999999999999E-17"/>
  </r>
  <r>
    <x v="1"/>
    <s v="Diatraea_Validation._V3"/>
    <x v="251"/>
    <n v="8.5471693000000001E-2"/>
    <n v="-0.57457681100000002"/>
    <n v="-0.27945122320506655"/>
    <n v="-0.48910511800000001"/>
    <n v="0.38010440200000001"/>
    <n v="-0.76855634120506655"/>
    <n v="0.31679148135884194"/>
    <n v="0.27283996199999999"/>
    <n v="-0.80976737799999998"/>
    <n v="-0.27877632987391054"/>
    <n v="-0.53692741600000005"/>
    <n v="0.36890263299999998"/>
    <n v="-0.81570374587391048"/>
    <n v="0.30667639566062882"/>
    <n v="0.17915582699999999"/>
    <n v="0.37450351700000001"/>
    <n v="-0.51301626700000003"/>
    <n v="-0.79213004353948846"/>
    <n v="0.31173393850973541"/>
    <x v="0"/>
    <n v="0.99996949499999999"/>
    <n v="5.9800000000000004E-32"/>
    <n v="3.0499999999999999E-5"/>
    <n v="7.0799999999999999E-15"/>
  </r>
  <r>
    <x v="1"/>
    <s v="Diatraea_Validation._V3"/>
    <x v="252"/>
    <n v="-8.8708658999999995E-2"/>
    <n v="-0.57457681100000002"/>
    <n v="-0.27945122320506655"/>
    <n v="-0.66328547100000002"/>
    <n v="0.34000196300000002"/>
    <n v="-0.94273669320506659"/>
    <n v="0.28034787491799534"/>
    <n v="0.30609378300000001"/>
    <n v="-0.80976737799999998"/>
    <n v="-0.27877632987391054"/>
    <n v="-0.50367359499999997"/>
    <n v="0.37667774999999998"/>
    <n v="-0.78244992487391052"/>
    <n v="0.31379211150953756"/>
    <n v="0.10869256200000001"/>
    <n v="0.35833985600000001"/>
    <n v="-0.58347953299999999"/>
    <n v="-0.86259330903948861"/>
    <n v="0.29706999321376648"/>
    <x v="0"/>
    <n v="0.99999863200000005"/>
    <n v="8.4900000000000004E-28"/>
    <n v="1.37E-6"/>
    <n v="2.9400000000000001E-17"/>
  </r>
  <r>
    <x v="1"/>
    <s v="Diatraea_Validation._V3"/>
    <x v="253"/>
    <n v="0.17741410199999999"/>
    <n v="-0.57457681100000002"/>
    <n v="-0.27945122320506655"/>
    <n v="-0.397162709"/>
    <n v="0.40199422000000001"/>
    <n v="-0.6766139322050666"/>
    <n v="0.33701745635644309"/>
    <n v="2.8450283E-2"/>
    <n v="-0.80976737799999998"/>
    <n v="-0.27877632987391054"/>
    <n v="-0.78131709400000005"/>
    <n v="0.31403609199999999"/>
    <n v="-1.0600934248739105"/>
    <n v="0.25729160148733521"/>
    <n v="0.10293219300000001"/>
    <n v="0.358015156"/>
    <n v="-0.58923990150000005"/>
    <n v="-0.86835367853948853"/>
    <n v="0.29715452892188915"/>
    <x v="0"/>
    <n v="0.99965246699999999"/>
    <n v="9.67E-29"/>
    <n v="3.4753300000000002E-4"/>
    <n v="2.23E-14"/>
  </r>
  <r>
    <x v="1"/>
    <s v="Diatraea_Validation._V3"/>
    <x v="254"/>
    <n v="0.124638317"/>
    <n v="-0.57457681100000002"/>
    <n v="-0.27945122320506655"/>
    <n v="-0.44993849400000002"/>
    <n v="0.38937538999999999"/>
    <n v="-0.72938971720506651"/>
    <n v="0.32532866406055244"/>
    <n v="0.17077848700000001"/>
    <n v="-0.80976737799999998"/>
    <n v="-0.27877632987391054"/>
    <n v="-0.638988891"/>
    <n v="0.34547513800000001"/>
    <n v="-0.91776522087391055"/>
    <n v="0.28541346469437795"/>
    <n v="0.14770840199999999"/>
    <n v="0.36742526399999997"/>
    <n v="-0.54446369250000004"/>
    <n v="-0.82357746903948859"/>
    <n v="0.3053710643774652"/>
    <x v="0"/>
    <n v="0.99997492700000001"/>
    <n v="6.0099999999999998E-27"/>
    <n v="2.51E-5"/>
    <n v="1.0399999999999999E-15"/>
  </r>
  <r>
    <x v="1"/>
    <s v="Diatraea_Validation._V3"/>
    <x v="255"/>
    <n v="0.16359009399999999"/>
    <n v="-0.57457681100000002"/>
    <n v="-0.27945122320506655"/>
    <n v="-0.410986717"/>
    <n v="0.39867554900000002"/>
    <n v="-0.69043794020506655"/>
    <n v="0.33393565835098149"/>
    <n v="0.23921732900000001"/>
    <n v="-0.80976737799999998"/>
    <n v="-0.27877632987391054"/>
    <n v="-0.57055004899999995"/>
    <n v="0.36110991399999998"/>
    <n v="-0.84932637887391049"/>
    <n v="0.29957418401892483"/>
    <n v="0.20140371200000001"/>
    <n v="0.37989273099999998"/>
    <n v="-0.49076838299999997"/>
    <n v="-0.76988215953948846"/>
    <n v="0.31675492118495319"/>
    <x v="0"/>
    <n v="0.574621249"/>
    <n v="7.2200000000000002E-26"/>
    <n v="0.425378751"/>
    <n v="1.2E-16"/>
  </r>
  <r>
    <x v="1"/>
    <s v="Diatraea_Validation._V3"/>
    <x v="256"/>
    <n v="-5.1626999999999999E-4"/>
    <n v="-0.57457681100000002"/>
    <n v="-0.27945122320506655"/>
    <n v="-0.57509308100000001"/>
    <n v="0.360062455"/>
    <n v="-0.85454430420506655"/>
    <n v="0.29848045570610648"/>
    <n v="-0.162036238"/>
    <n v="-0.80976737799999998"/>
    <n v="-0.27877632987391054"/>
    <n v="-0.97180361599999998"/>
    <n v="0.27452114900000002"/>
    <n v="-1.2505799458739104"/>
    <n v="0.22259976356339195"/>
    <n v="-8.1276254000000006E-2"/>
    <n v="0.31729180200000001"/>
    <n v="-0.77344834849999999"/>
    <n v="-1.0525621250394885"/>
    <n v="0.26054010963474922"/>
    <x v="0"/>
    <n v="0.92844463600000005"/>
    <n v="9.4099999999999998E-26"/>
    <n v="7.1555363999999996E-2"/>
    <n v="1.09E-15"/>
  </r>
  <r>
    <x v="1"/>
    <s v="Diatraea_Validation._V3"/>
    <x v="257"/>
    <n v="-3.7396791999999998E-2"/>
    <n v="-0.57457681100000002"/>
    <n v="-0.27945122320506655"/>
    <n v="-0.61197360300000003"/>
    <n v="0.351609124"/>
    <n v="-0.89142482620506658"/>
    <n v="0.29081588086022298"/>
    <n v="-8.42415E-3"/>
    <n v="-0.80976737799999998"/>
    <n v="-0.27877632987391054"/>
    <n v="-0.81819152799999995"/>
    <n v="0.306147683"/>
    <n v="-1.0969678578739104"/>
    <n v="0.25030845751366121"/>
    <n v="-2.2910471000000002E-2"/>
    <n v="0.32887840299999999"/>
    <n v="-0.71508256549999993"/>
    <n v="-0.99419634203948848"/>
    <n v="0.27056216918694209"/>
    <x v="0"/>
    <n v="3.4949760000000003E-2"/>
    <n v="7.5599999999999995E-29"/>
    <n v="0.96505023999999995"/>
    <n v="3.12E-17"/>
  </r>
  <r>
    <x v="1"/>
    <s v="Diatraea_Validation._V3"/>
    <x v="258"/>
    <n v="5.220064E-2"/>
    <n v="-0.57457681100000002"/>
    <n v="-0.27945122320506655"/>
    <n v="-0.522376171"/>
    <n v="0.37229677300000003"/>
    <n v="-0.80182739420506655"/>
    <n v="0.30963475729741102"/>
    <n v="0.205204371"/>
    <n v="-0.80976737799999998"/>
    <n v="-0.27877632987391054"/>
    <n v="-0.60456300699999999"/>
    <n v="0.35330044500000002"/>
    <n v="-0.88333933687391053"/>
    <n v="0.29248626449883308"/>
    <n v="0.12870250599999999"/>
    <n v="0.36279860899999999"/>
    <n v="-0.56346958899999999"/>
    <n v="-0.84258336553948854"/>
    <n v="0.30106051089812202"/>
    <x v="0"/>
    <n v="7.109476E-3"/>
    <n v="2.83E-27"/>
    <n v="0.992890524"/>
    <n v="4.0899999999999998E-20"/>
  </r>
  <r>
    <x v="1"/>
    <s v="Diatraea_Validation._V3"/>
    <x v="259"/>
    <n v="0.28113949799999999"/>
    <n v="-0.57457681100000002"/>
    <n v="-0.27945122320506655"/>
    <n v="-0.29343731299999998"/>
    <n v="0.42716256499999999"/>
    <n v="-0.57288853620506663"/>
    <n v="0.36057057770652662"/>
    <n v="0.77276389300000004"/>
    <n v="-0.80976737799999998"/>
    <n v="-0.27877632987391054"/>
    <n v="-3.7003485000000003E-2"/>
    <n v="0.49075018399999998"/>
    <n v="-0.31577981487391049"/>
    <n v="0.42170458219458923"/>
    <n v="0.52695169500000005"/>
    <n v="0.45895637500000003"/>
    <n v="-0.16522039899999999"/>
    <n v="-0.44433417553948856"/>
    <n v="0.39113757995055792"/>
    <x v="0"/>
    <n v="1.2500000000000001E-5"/>
    <n v="8.0399999999999995E-29"/>
    <n v="0.99998747499999996"/>
    <n v="4.66E-24"/>
  </r>
  <r>
    <x v="1"/>
    <s v="Diatraea_Validation._V3"/>
    <x v="260"/>
    <n v="-0.193809068"/>
    <n v="-0.57457681100000002"/>
    <n v="-0.27945122320506655"/>
    <n v="-0.76838587899999999"/>
    <n v="0.31682837600000002"/>
    <n v="-1.0478371022050665"/>
    <n v="0.25964065280715892"/>
    <n v="-0.70599425599999999"/>
    <n v="-0.80976737799999998"/>
    <n v="-0.27877632987391054"/>
    <n v="-1.515761634"/>
    <n v="0.18008648799999999"/>
    <n v="-1.7945379638739105"/>
    <n v="0.14251725651746577"/>
    <n v="-0.44990166199999998"/>
    <n v="0.24845743200000001"/>
    <n v="-1.1420737564999999"/>
    <n v="-1.4211875330394885"/>
    <n v="0.20107895466231235"/>
    <x v="0"/>
    <n v="0.999892381"/>
    <n v="2.0100000000000001E-30"/>
    <n v="1.07619E-4"/>
    <n v="8.0000000000000006E-15"/>
  </r>
  <r>
    <x v="1"/>
    <s v="Diatraea_Validation._V3"/>
    <x v="261"/>
    <n v="-0.28434318400000003"/>
    <n v="-0.57457681100000002"/>
    <n v="-0.27945122320506655"/>
    <n v="-0.85891999500000005"/>
    <n v="0.29756503899999998"/>
    <n v="-1.1383712182050667"/>
    <n v="0.24261953279174719"/>
    <n v="-0.460662815"/>
    <n v="-0.80976737799999998"/>
    <n v="-0.27877632987391054"/>
    <n v="-1.2704301929999999"/>
    <n v="0.219183619"/>
    <n v="-1.5492065228739105"/>
    <n v="0.17520090045941614"/>
    <n v="-0.37250299999999997"/>
    <n v="0.25837432900000001"/>
    <n v="-1.064675094"/>
    <n v="-1.3437888705394885"/>
    <n v="0.20891021662558168"/>
    <x v="0"/>
    <n v="0.233797122"/>
    <n v="1.5699999999999999E-26"/>
    <n v="0.76620287799999998"/>
    <n v="6.0199999999999997E-17"/>
  </r>
  <r>
    <x v="1"/>
    <s v="Diatraea_Validation._V3"/>
    <x v="262"/>
    <n v="0.168227553"/>
    <n v="-0.57457681100000002"/>
    <n v="-0.27945122320506655"/>
    <n v="-0.40634925799999999"/>
    <n v="0.39978782299999999"/>
    <n v="-0.68580048120506654"/>
    <n v="0.33496792731627623"/>
    <n v="0.37157610400000002"/>
    <n v="-0.80976737799999998"/>
    <n v="-0.27877632987391054"/>
    <n v="-0.43819127400000002"/>
    <n v="0.39217203699999997"/>
    <n v="-0.71696760387391056"/>
    <n v="0.32806108641503706"/>
    <n v="0.26990182899999998"/>
    <n v="0.39597992999999998"/>
    <n v="-0.42227026600000001"/>
    <n v="-0.70138404253948861"/>
    <n v="0.33151450686565664"/>
    <x v="0"/>
    <n v="6.0300000000000002E-5"/>
    <n v="3.2699999999999999E-27"/>
    <n v="0.99993972900000005"/>
    <n v="1.2900000000000001E-22"/>
  </r>
  <r>
    <x v="1"/>
    <s v="Diatraea_Validation._V4"/>
    <x v="263"/>
    <n v="1.2601843999999999E-2"/>
    <n v="-0.57457681100000002"/>
    <n v="-0.56248729144923193"/>
    <n v="-0.56197496700000005"/>
    <n v="0.36309061399999998"/>
    <n v="-1.1244622584492321"/>
    <n v="0.24518451882421766"/>
    <n v="0.49486998999999998"/>
    <n v="-0.80976737799999998"/>
    <n v="-0.70414875992547199"/>
    <n v="-0.314897388"/>
    <n v="0.42191979400000001"/>
    <n v="-1.019046147925472"/>
    <n v="0.26521324099269222"/>
    <n v="0.25373591699999998"/>
    <n v="0.392505204"/>
    <n v="-0.43843617750000002"/>
    <n v="-1.0717542031873522"/>
    <n v="0.25519887990845491"/>
    <x v="1"/>
    <m/>
    <m/>
    <m/>
    <m/>
  </r>
  <r>
    <x v="1"/>
    <s v="Diatraea_Validation._V4"/>
    <x v="27"/>
    <n v="-0.32553268299999999"/>
    <n v="-0.57457681100000002"/>
    <n v="-0.56248729144923193"/>
    <n v="-0.90010949399999995"/>
    <n v="0.28902799699999998"/>
    <n v="-1.4625967854492319"/>
    <n v="0.18807047491872603"/>
    <n v="-0.49603016300000002"/>
    <n v="-0.80976737799999998"/>
    <n v="-0.70414875992547199"/>
    <n v="-1.305797541"/>
    <n v="0.21319091700000001"/>
    <n v="-2.0099463009254719"/>
    <n v="0.11816257314774198"/>
    <n v="-0.41078142299999998"/>
    <n v="0.25110945699999998"/>
    <n v="-1.1029535175"/>
    <n v="-1.7362715431873519"/>
    <n v="0.153116524033234"/>
    <x v="1"/>
    <n v="1.64E-44"/>
    <n v="1"/>
    <n v="1.06E-47"/>
    <n v="1.25E-71"/>
  </r>
  <r>
    <x v="1"/>
    <s v="Diatraea_Validation._V4"/>
    <x v="2"/>
    <n v="0.18369442899999999"/>
    <n v="-0.57457681100000002"/>
    <n v="-0.56248729144923193"/>
    <n v="-0.39088238199999997"/>
    <n v="0.40350490300000003"/>
    <n v="-0.95336967344923196"/>
    <n v="0.27820765861176722"/>
    <n v="0.49486998999999998"/>
    <n v="-0.80976737799999998"/>
    <n v="-0.70414875992547199"/>
    <n v="-0.314897388"/>
    <n v="0.42191979400000001"/>
    <n v="-1.019046147925472"/>
    <n v="0.26521324099269222"/>
    <n v="0.33928220999999997"/>
    <n v="0.41271234899999998"/>
    <n v="-0.35288988499999996"/>
    <n v="-0.98620791068735203"/>
    <n v="0.27171044980222969"/>
    <x v="1"/>
    <n v="2E-14"/>
    <n v="2.4500000000000002E-35"/>
    <n v="1.3600000000000001E-12"/>
    <n v="1"/>
  </r>
  <r>
    <x v="1"/>
    <s v="Diatraea_Validation._V4"/>
    <x v="264"/>
    <n v="-4.8496741000000003E-2"/>
    <n v="-0.57457681100000002"/>
    <n v="-0.56248729144923193"/>
    <n v="-0.623073553"/>
    <n v="0.34908274299999997"/>
    <n v="-1.185560843449232"/>
    <n v="0.23405381530566929"/>
    <n v="-0.22222572099999999"/>
    <n v="-0.80976737799999998"/>
    <n v="-0.70414875992547199"/>
    <n v="-1.0319930989999999"/>
    <n v="0.26269788300000002"/>
    <n v="-1.736141858925472"/>
    <n v="0.14980365347382874"/>
    <n v="-0.135361231"/>
    <n v="0.30589031300000002"/>
    <n v="-0.82753332599999996"/>
    <n v="-1.460851351187352"/>
    <n v="0.191928734389749"/>
    <x v="0"/>
    <n v="0.99996876599999995"/>
    <n v="6.1100000000000002E-27"/>
    <n v="3.1199999999999999E-5"/>
    <n v="2.2800000000000001E-16"/>
  </r>
  <r>
    <x v="1"/>
    <s v="Diatraea_Validation._V4"/>
    <x v="265"/>
    <n v="-0.15729235999999999"/>
    <n v="-0.57457681100000002"/>
    <n v="-0.56248729144923193"/>
    <n v="-0.73186917200000001"/>
    <n v="0.32478468500000002"/>
    <n v="-1.2943564624492319"/>
    <n v="0.21511634717105099"/>
    <n v="-0.32680357700000001"/>
    <n v="-0.80976737799999998"/>
    <n v="-0.70414875992547199"/>
    <n v="-1.136570955"/>
    <n v="0.24295049399999999"/>
    <n v="-1.8407197149254722"/>
    <n v="0.1369661953936856"/>
    <n v="-0.242047969"/>
    <n v="0.28386758899999998"/>
    <n v="-0.93422006349999998"/>
    <n v="-1.567538088687352"/>
    <n v="0.17604127128236829"/>
    <x v="0"/>
    <n v="0.99997692500000002"/>
    <n v="6.43E-30"/>
    <n v="2.3099999999999999E-5"/>
    <n v="4.9500000000000004E-15"/>
  </r>
  <r>
    <x v="1"/>
    <s v="Diatraea_Validation._V4"/>
    <x v="266"/>
    <n v="0.28441731100000001"/>
    <n v="-0.57457681100000002"/>
    <n v="-0.56248729144923193"/>
    <n v="-0.29015950000000001"/>
    <n v="0.427964819"/>
    <n v="-0.85264679144923194"/>
    <n v="0.2988779275299378"/>
    <n v="0.307834249"/>
    <n v="-0.80976737799999998"/>
    <n v="-0.70414875992547199"/>
    <n v="-0.50193312899999998"/>
    <n v="0.377086484"/>
    <n v="-1.2060818889254721"/>
    <n v="0.23039504966347343"/>
    <n v="0.29612578000000001"/>
    <n v="0.40252565200000001"/>
    <n v="-0.3960463145"/>
    <n v="-1.029364340187352"/>
    <n v="0.26463648859670563"/>
    <x v="0"/>
    <n v="0.99998212500000005"/>
    <n v="1.1400000000000001E-24"/>
    <n v="1.7900000000000001E-5"/>
    <n v="6.6099999999999997E-15"/>
  </r>
  <r>
    <x v="1"/>
    <s v="Diatraea_Validation._V4"/>
    <x v="267"/>
    <n v="-0.196344874"/>
    <n v="-0.57457681100000002"/>
    <n v="-0.56248729144923193"/>
    <n v="-0.77092168599999999"/>
    <n v="0.31627976099999999"/>
    <n v="-1.3334089764492321"/>
    <n v="0.20859603960292525"/>
    <n v="-0.38145031699999998"/>
    <n v="-0.80976737799999998"/>
    <n v="-0.70414875992547199"/>
    <n v="-1.1912176940000001"/>
    <n v="0.23304122299999999"/>
    <n v="-1.8953664549254721"/>
    <n v="0.13063379961566032"/>
    <n v="-0.28889759599999998"/>
    <n v="0.27466049199999998"/>
    <n v="-0.98106968999999999"/>
    <n v="-1.6143877156873521"/>
    <n v="0.16961491960929279"/>
    <x v="0"/>
    <n v="0.99999969"/>
    <n v="3.7499999999999997E-26"/>
    <n v="3.1E-7"/>
    <n v="6.3800000000000003E-15"/>
  </r>
  <r>
    <x v="1"/>
    <s v="Diatraea_Validation._V4"/>
    <x v="268"/>
    <n v="0.21901425399999999"/>
    <n v="-0.57457681100000002"/>
    <n v="-0.56248729144923193"/>
    <n v="-0.355562557"/>
    <n v="0.41203416900000001"/>
    <n v="-0.91804984844923199"/>
    <n v="0.28535541770073214"/>
    <n v="0.22851738799999999"/>
    <n v="-0.80976737799999998"/>
    <n v="-0.70414875992547199"/>
    <n v="-0.58124998999999999"/>
    <n v="0.35864502199999998"/>
    <n v="-1.285398749925472"/>
    <n v="0.21663263833086829"/>
    <n v="0.223765821"/>
    <n v="0.38533959499999998"/>
    <n v="-0.46840627349999997"/>
    <n v="-1.1017242991873519"/>
    <n v="0.25099402801580023"/>
    <x v="0"/>
    <n v="0.996195002"/>
    <n v="9.1000000000000001E-27"/>
    <n v="3.804998E-3"/>
    <n v="7.8500000000000006E-17"/>
  </r>
  <r>
    <x v="1"/>
    <s v="Diatraea_Validation._V4"/>
    <x v="269"/>
    <n v="9.6590419999999996E-3"/>
    <n v="-0.57457681100000002"/>
    <n v="-0.56248729144923193"/>
    <n v="-0.56491776999999999"/>
    <n v="0.36241034799999999"/>
    <n v="-1.1274050604492318"/>
    <n v="0.24464030567593392"/>
    <n v="-0.123277737"/>
    <n v="-0.80976737799999998"/>
    <n v="-0.70414875992547199"/>
    <n v="-0.93304511499999998"/>
    <n v="0.28230733499999999"/>
    <n v="-1.637193874925472"/>
    <n v="0.16284725423332438"/>
    <n v="-5.6809348000000003E-2"/>
    <n v="0.32235884199999998"/>
    <n v="-0.74898144249999998"/>
    <n v="-1.3822994676873519"/>
    <n v="0.20374377995462917"/>
    <x v="0"/>
    <n v="0.26531809299999998"/>
    <n v="6.7700000000000001E-28"/>
    <n v="0.73468190700000002"/>
    <n v="4.5200000000000005E-16"/>
  </r>
  <r>
    <x v="1"/>
    <s v="Diatraea_Validation._V4"/>
    <x v="270"/>
    <n v="-0.198509346"/>
    <n v="-0.57457681100000002"/>
    <n v="-0.56248729144923193"/>
    <n v="-0.77308615700000005"/>
    <n v="0.31581188700000001"/>
    <n v="-1.3355734484492321"/>
    <n v="0.20823894585883901"/>
    <n v="-0.32680357700000001"/>
    <n v="-0.80976737799999998"/>
    <n v="-0.70414875992547199"/>
    <n v="-1.136570955"/>
    <n v="0.24295049399999999"/>
    <n v="-1.8407197149254722"/>
    <n v="0.1369661953936856"/>
    <n v="-0.26265646199999998"/>
    <n v="0.27938119"/>
    <n v="-0.95482855600000005"/>
    <n v="-1.5881465816873521"/>
    <n v="0.1726025706262623"/>
    <x v="0"/>
    <n v="0.98566368000000004"/>
    <n v="1.62E-30"/>
    <n v="1.433632E-2"/>
    <n v="2.1899999999999999E-17"/>
  </r>
  <r>
    <x v="1"/>
    <s v="Diatraea_Validation._V4"/>
    <x v="271"/>
    <n v="0.214739661"/>
    <n v="-0.57457681100000002"/>
    <n v="-0.56248729144923193"/>
    <n v="-0.35983714999999999"/>
    <n v="0.41099898800000001"/>
    <n v="-0.92232444144923198"/>
    <n v="0.28448451016739407"/>
    <n v="0.60068346900000003"/>
    <n v="-0.80976737799999998"/>
    <n v="-0.70414875992547199"/>
    <n v="-0.20908390900000001"/>
    <n v="0.44791861799999999"/>
    <n v="-0.91323266892547195"/>
    <n v="0.28633878894339426"/>
    <n v="0.407711565"/>
    <n v="0.429458803"/>
    <n v="-0.2844605295"/>
    <n v="-0.91777855518735196"/>
    <n v="0.28541164955539416"/>
    <x v="0"/>
    <n v="2.0176917999999999E-2"/>
    <n v="4.62E-28"/>
    <n v="0.97982308200000001"/>
    <n v="2.19E-19"/>
  </r>
  <r>
    <x v="1"/>
    <s v="Diatraea_Validation._V4"/>
    <x v="272"/>
    <n v="0.27690489499999998"/>
    <n v="-0.57457681100000002"/>
    <n v="-0.56248729144923193"/>
    <n v="-0.29767191599999998"/>
    <n v="0.426126701"/>
    <n v="-0.86015920744923191"/>
    <n v="0.29730608372963807"/>
    <n v="0.22851738799999999"/>
    <n v="-0.80976737799999998"/>
    <n v="-0.70414875992547199"/>
    <n v="-0.58124998999999999"/>
    <n v="0.35864502199999998"/>
    <n v="-1.285398749925472"/>
    <n v="0.21663263833086829"/>
    <n v="0.252711142"/>
    <n v="0.392385861"/>
    <n v="-0.43946095299999999"/>
    <n v="-1.0727789786873521"/>
    <n v="0.2569693610302532"/>
    <x v="0"/>
    <n v="0.99889347399999995"/>
    <n v="9.2100000000000003E-26"/>
    <n v="1.106526E-3"/>
    <n v="2.2199999999999999E-17"/>
  </r>
  <r>
    <x v="1"/>
    <s v="Diatraea_Validation._V4"/>
    <x v="273"/>
    <n v="-0.29912265399999999"/>
    <n v="-0.57457681100000002"/>
    <n v="-0.56248729144923193"/>
    <n v="-0.87369946499999995"/>
    <n v="0.294485104"/>
    <n v="-1.4361867564492319"/>
    <n v="0.19213654582494666"/>
    <n v="-0.55622258599999996"/>
    <n v="-0.80976737799999998"/>
    <n v="-0.70414875992547199"/>
    <n v="-1.3659899639999999"/>
    <n v="0.20326850099999999"/>
    <n v="-2.070138723925472"/>
    <n v="0.11203323730965843"/>
    <n v="-0.42767262"/>
    <n v="0.24887680200000001"/>
    <n v="-1.1198447144999999"/>
    <n v="-1.753162740187352"/>
    <n v="0.15208489156730254"/>
    <x v="0"/>
    <n v="0.99998083000000004"/>
    <n v="1.7299999999999999E-29"/>
    <n v="1.9199999999999999E-5"/>
    <n v="1.02E-17"/>
  </r>
  <r>
    <x v="1"/>
    <s v="Diatraea_Validation._V4"/>
    <x v="274"/>
    <n v="-8.5642285999999998E-2"/>
    <n v="-0.57457681100000002"/>
    <n v="-0.56248729144923193"/>
    <n v="-0.66021909700000003"/>
    <n v="0.34069039600000001"/>
    <n v="-1.222706388449232"/>
    <n v="0.22746052719458695"/>
    <n v="-0.273763637"/>
    <n v="-0.80976737799999998"/>
    <n v="-0.70414875992547199"/>
    <n v="-1.0835310149999999"/>
    <n v="0.252838387"/>
    <n v="-1.787679774925472"/>
    <n v="0.14335742549630742"/>
    <n v="-0.17970296199999999"/>
    <n v="0.29676439100000002"/>
    <n v="-0.87187505599999993"/>
    <n v="-1.505193081687352"/>
    <n v="0.18540897634544717"/>
    <x v="0"/>
    <n v="0.991009425"/>
    <n v="9.9999999999999994E-30"/>
    <n v="8.9905750000000006E-3"/>
    <n v="4.0199999999999998E-15"/>
  </r>
  <r>
    <x v="1"/>
    <s v="Diatraea_Validation._V4"/>
    <x v="275"/>
    <n v="0.18381418699999999"/>
    <n v="-0.57457681100000002"/>
    <n v="-0.56248729144923193"/>
    <n v="-0.39076262499999997"/>
    <n v="0.40353372799999998"/>
    <n v="-0.95324991544923199"/>
    <n v="0.27823170763381649"/>
    <n v="0.26853491600000001"/>
    <n v="-0.80976737799999998"/>
    <n v="-0.70414875992547199"/>
    <n v="-0.54123246199999997"/>
    <n v="0.36790092699999999"/>
    <n v="-1.2453812219254718"/>
    <n v="0.22350069533885958"/>
    <n v="0.226174551"/>
    <n v="0.385717327"/>
    <n v="-0.4659975435"/>
    <n v="-1.0993155686873519"/>
    <n v="0.25086620148633804"/>
    <x v="0"/>
    <n v="0.79946472599999996"/>
    <n v="7.1800000000000003E-26"/>
    <n v="0.20053527400000001"/>
    <n v="3.26E-18"/>
  </r>
  <r>
    <x v="1"/>
    <s v="Diatraea_Validation._V4"/>
    <x v="276"/>
    <n v="-2.3413244999999999E-2"/>
    <n v="-0.57457681100000002"/>
    <n v="-0.56248729144923193"/>
    <n v="-0.59799005599999999"/>
    <n v="0.35480367200000001"/>
    <n v="-1.1604773474492318"/>
    <n v="0.23858055945793094"/>
    <n v="0.26853491600000001"/>
    <n v="-0.80976737799999998"/>
    <n v="-0.70414875992547199"/>
    <n v="-0.54123246199999997"/>
    <n v="0.36790092699999999"/>
    <n v="-1.2453812219254718"/>
    <n v="0.22350069533885958"/>
    <n v="0.12256083500000001"/>
    <n v="0.36135229899999999"/>
    <n v="-0.56961125899999998"/>
    <n v="-1.2029292846873518"/>
    <n v="0.23104062739839526"/>
    <x v="0"/>
    <n v="0.99992324300000002"/>
    <n v="6.3300000000000004E-26"/>
    <n v="7.6799999999999997E-5"/>
    <n v="3.6399999999999999E-18"/>
  </r>
  <r>
    <x v="1"/>
    <s v="Diatraea_Validation._V5"/>
    <x v="277"/>
    <n v="0.23976405000000001"/>
    <n v="-0.57457681100000002"/>
    <n v="-7.2208879421957153E-2"/>
    <n v="-0.33481276100000001"/>
    <n v="0.41707006699999999"/>
    <n v="-0.40702164042195715"/>
    <n v="0.39962649045806825"/>
    <n v="0.29545417299999999"/>
    <n v="-0.80976737799999998"/>
    <n v="-0.15262980225704867"/>
    <n v="-0.514313205"/>
    <n v="0.37418295499999998"/>
    <n v="-0.66694300725704869"/>
    <n v="0.33918169020075128"/>
    <n v="0.26760911100000001"/>
    <n v="0.39562651100000001"/>
    <n v="-0.424562983"/>
    <n v="-0.53698232383950295"/>
    <n v="0.3694040903294098"/>
    <x v="1"/>
    <m/>
    <m/>
    <m/>
    <m/>
  </r>
  <r>
    <x v="1"/>
    <s v="Diatraea_Validation._V5"/>
    <x v="278"/>
    <n v="0.24497931000000001"/>
    <n v="-0.57457681100000002"/>
    <n v="-7.2208879421957153E-2"/>
    <n v="-0.32959750100000001"/>
    <n v="0.41833856000000003"/>
    <n v="-0.40180638042195715"/>
    <n v="0.4008784150529443"/>
    <n v="0.165169442"/>
    <n v="-0.80976737799999998"/>
    <n v="-0.15262980225704867"/>
    <n v="-0.64459793499999996"/>
    <n v="0.34420791099999998"/>
    <n v="-0.79722773825704873"/>
    <n v="0.3106188446408476"/>
    <n v="0.205074376"/>
    <n v="0.38127323600000002"/>
    <n v="-0.48709771800000001"/>
    <n v="-0.59951705933950294"/>
    <n v="0.35574862984689593"/>
    <x v="1"/>
    <m/>
    <m/>
    <m/>
    <m/>
  </r>
  <r>
    <x v="1"/>
    <s v="Diatraea_Validation._V5"/>
    <x v="27"/>
    <n v="-0.641714742"/>
    <n v="-0.57457681100000002"/>
    <n v="-7.2208879421957153E-2"/>
    <n v="-1.216291553"/>
    <n v="0.22858972699999999"/>
    <n v="-1.2885004324219571"/>
    <n v="0.21610673634248614"/>
    <n v="-0.85567974499999999"/>
    <n v="-0.80976737799999998"/>
    <n v="-0.15262980225704867"/>
    <n v="-1.6654471230000001"/>
    <n v="0.15903213999999999"/>
    <n v="-1.8180769252570486"/>
    <n v="0.13966478672046104"/>
    <n v="-0.74869724299999996"/>
    <n v="0.19381093299999999"/>
    <n v="-1.4408693380000002"/>
    <n v="-1.5532886788395028"/>
    <n v="0.17788576153147359"/>
    <x v="1"/>
    <n v="1.64E-44"/>
    <n v="1"/>
    <n v="1.06E-47"/>
    <n v="1.25E-71"/>
  </r>
  <r>
    <x v="1"/>
    <s v="Diatraea_Validation._V5"/>
    <x v="2"/>
    <n v="0.25827623799999999"/>
    <n v="-0.57457681100000002"/>
    <n v="-7.2208879421957153E-2"/>
    <n v="-0.31630057299999997"/>
    <n v="0.42157759"/>
    <n v="-0.38850945242195717"/>
    <n v="0.40407617112425109"/>
    <n v="0.89757868500000004"/>
    <n v="-0.80976737799999998"/>
    <n v="-0.15262980225704867"/>
    <n v="8.7811307000000005E-2"/>
    <n v="0.52193873099999999"/>
    <n v="-6.4818495257048608E-2"/>
    <n v="0.48380104736232127"/>
    <n v="0.57792746100000003"/>
    <n v="0.47175816100000001"/>
    <n v="-0.11424463299999998"/>
    <n v="-0.22666397383950287"/>
    <n v="0.44393860924328621"/>
    <x v="1"/>
    <n v="2E-14"/>
    <n v="2.4500000000000002E-35"/>
    <n v="1.3600000000000001E-12"/>
    <n v="1"/>
  </r>
  <r>
    <x v="1"/>
    <s v="Diatraea_Validation._V5"/>
    <x v="279"/>
    <n v="0.127749261"/>
    <n v="-0.57457681100000002"/>
    <n v="-7.2208879421957153E-2"/>
    <n v="-0.44682755000000002"/>
    <n v="0.39011530900000002"/>
    <n v="-0.51903642942195716"/>
    <n v="0.37307757630567778"/>
    <n v="9.7959934999999998E-2"/>
    <n v="-0.80976737799999998"/>
    <n v="-0.15262980225704867"/>
    <n v="-0.71180744299999998"/>
    <n v="0.32919958399999999"/>
    <n v="-0.86443724525704868"/>
    <n v="0.29641311239290358"/>
    <n v="0.112854598"/>
    <n v="0.35965744700000002"/>
    <n v="-0.57931749649999997"/>
    <n v="-0.69173683733950297"/>
    <n v="0.33474534434929071"/>
    <x v="0"/>
    <n v="0.99989451900000004"/>
    <n v="1.3600000000000001E-29"/>
    <n v="1.05481E-4"/>
    <n v="1.3599999999999999E-16"/>
  </r>
  <r>
    <x v="1"/>
    <s v="Diatraea_Validation._V5"/>
    <x v="280"/>
    <n v="-0.41391645599999999"/>
    <n v="-0.57457681100000002"/>
    <n v="-7.2208879421957153E-2"/>
    <n v="-0.98849326699999995"/>
    <n v="0.27120978800000001"/>
    <n v="-1.060702146421957"/>
    <n v="0.25717529647048532"/>
    <n v="-0.90963293499999998"/>
    <n v="-0.80976737799999998"/>
    <n v="-0.15262980225704867"/>
    <n v="-1.719400313"/>
    <n v="0.151948423"/>
    <n v="-1.8720301152570487"/>
    <n v="0.13330699599135659"/>
    <n v="-0.66177469499999997"/>
    <n v="0.21157910599999999"/>
    <n v="-1.35394679"/>
    <n v="-1.4663661308395028"/>
    <n v="0.19524114623092095"/>
    <x v="0"/>
    <n v="0.99985817600000004"/>
    <n v="6.5199999999999999E-28"/>
    <n v="1.41824E-4"/>
    <n v="2.5800000000000001E-15"/>
  </r>
  <r>
    <x v="1"/>
    <s v="Diatraea_Validation._V5"/>
    <x v="281"/>
    <n v="-6.9025956999999999E-2"/>
    <n v="-0.57457681100000002"/>
    <n v="-7.2208879421957153E-2"/>
    <n v="-0.64360276900000002"/>
    <n v="0.34443258300000001"/>
    <n v="-0.71581164742195724"/>
    <n v="0.32831595262626284"/>
    <n v="-0.26626250400000001"/>
    <n v="-0.80976737799999998"/>
    <n v="-0.15262980225704867"/>
    <n v="-1.076029882"/>
    <n v="0.25425806000000001"/>
    <n v="-1.2286596842570487"/>
    <n v="0.22641609842391558"/>
    <n v="-0.167644231"/>
    <n v="0.299345321"/>
    <n v="-0.85981632549999998"/>
    <n v="-0.97223566583950305"/>
    <n v="0.27736602552508921"/>
    <x v="0"/>
    <n v="0.99986479900000003"/>
    <n v="1.02E-22"/>
    <n v="1.35201E-4"/>
    <n v="1.58E-16"/>
  </r>
  <r>
    <x v="1"/>
    <s v="Diatraea_Validation._V5"/>
    <x v="282"/>
    <n v="0.16054016600000001"/>
    <n v="-0.57457681100000002"/>
    <n v="-7.2208879421957153E-2"/>
    <n v="-0.41403664600000001"/>
    <n v="0.39794460500000001"/>
    <n v="-0.48624552442195718"/>
    <n v="0.38077842413194685"/>
    <n v="0.48270692199999998"/>
    <n v="-0.80976737799999998"/>
    <n v="-0.15262980225704867"/>
    <n v="-0.327060456"/>
    <n v="0.41895603100000001"/>
    <n v="-0.4796902582570487"/>
    <n v="0.38232526889995533"/>
    <n v="0.32162354399999998"/>
    <n v="0.40845031799999998"/>
    <n v="-0.370548551"/>
    <n v="-0.48296789133950291"/>
    <n v="0.38155184651595109"/>
    <x v="0"/>
    <n v="0.99798836300000004"/>
    <n v="5.5799999999999998E-25"/>
    <n v="2.0116370000000001E-3"/>
    <n v="5.4799999999999999E-15"/>
  </r>
  <r>
    <x v="1"/>
    <s v="Diatraea_Validation._V5"/>
    <x v="283"/>
    <n v="0.20803086900000001"/>
    <n v="-0.57457681100000002"/>
    <n v="-7.2208879421957153E-2"/>
    <n v="-0.36654594299999999"/>
    <n v="0.40937590600000001"/>
    <n v="-0.43875482142195715"/>
    <n v="0.39203771034587487"/>
    <n v="0.63336261599999999"/>
    <n v="-0.80976737799999998"/>
    <n v="-0.15262980225704867"/>
    <n v="-0.17640476199999999"/>
    <n v="0.45601281900000001"/>
    <n v="-0.32903456425704869"/>
    <n v="0.41847554707138612"/>
    <n v="0.42069674200000001"/>
    <n v="0.43269436300000003"/>
    <n v="-0.27147535249999999"/>
    <n v="-0.38389469283950295"/>
    <n v="0.4052566287086305"/>
    <x v="0"/>
    <n v="7.3839953E-2"/>
    <n v="5.3599999999999997E-26"/>
    <n v="0.92616004699999999"/>
    <n v="3.4899999999999998E-19"/>
  </r>
  <r>
    <x v="1"/>
    <s v="Diatraea_Validation._V5"/>
    <x v="284"/>
    <n v="-0.11201680899999999"/>
    <n v="-0.57457681100000002"/>
    <n v="-7.2208879421957153E-2"/>
    <n v="-0.68659362000000002"/>
    <n v="0.334791267"/>
    <n v="-0.75880249942195721"/>
    <n v="0.31890631299090039"/>
    <n v="-1.0820099590000001"/>
    <n v="-0.80976737799999998"/>
    <n v="-0.15262980225704867"/>
    <n v="-1.8917773369999999"/>
    <n v="0.13104195099999999"/>
    <n v="-2.0444071392570486"/>
    <n v="0.11461872975291477"/>
    <n v="-0.59701338400000004"/>
    <n v="0.232916609"/>
    <n v="-1.2891854784999999"/>
    <n v="-1.401604819339503"/>
    <n v="0.21676252137190757"/>
    <x v="0"/>
    <n v="0.99998345799999999"/>
    <n v="5.5599999999999999E-25"/>
    <n v="1.6500000000000001E-5"/>
    <n v="1.6000000000000001E-16"/>
  </r>
  <r>
    <x v="1"/>
    <s v="Diatraea_Validation._V5"/>
    <x v="285"/>
    <n v="0.17125642599999999"/>
    <n v="-0.57457681100000002"/>
    <n v="-7.2208879421957153E-2"/>
    <n v="-0.403320385"/>
    <n v="0.40051484399999998"/>
    <n v="-0.47552926442195714"/>
    <n v="0.38330837860777223"/>
    <n v="0.72214675800000006"/>
    <n v="-0.80976737799999998"/>
    <n v="-0.15262980225704867"/>
    <n v="-8.7620619999999996E-2"/>
    <n v="0.478108849"/>
    <n v="-0.2402504222570486"/>
    <n v="0.4402246390273088"/>
    <n v="0.44670159199999998"/>
    <n v="0.43931184600000001"/>
    <n v="-0.24547050249999999"/>
    <n v="-0.35788984333950286"/>
    <n v="0.41176650881754051"/>
    <x v="0"/>
    <n v="0.99941594499999997"/>
    <n v="2.9600000000000002E-29"/>
    <n v="5.8405499999999999E-4"/>
    <n v="9.3499999999999993E-15"/>
  </r>
  <r>
    <x v="1"/>
    <s v="Diatraea_Validation._V5"/>
    <x v="286"/>
    <n v="0.197000126"/>
    <n v="-0.57457681100000002"/>
    <n v="-7.2208879421957153E-2"/>
    <n v="-0.37757668599999999"/>
    <n v="0.406711504"/>
    <n v="-0.44978556442195716"/>
    <n v="0.38941175124020905"/>
    <n v="0.29545417299999999"/>
    <n v="-0.80976737799999998"/>
    <n v="-0.15262980225704867"/>
    <n v="-0.514313205"/>
    <n v="0.37418295499999998"/>
    <n v="-0.66694300725704869"/>
    <n v="0.33918169020075128"/>
    <n v="0.24622714900000001"/>
    <n v="0.39044722900000001"/>
    <n v="-0.44594494549999997"/>
    <n v="-0.55836428583950293"/>
    <n v="0.36429672072048014"/>
    <x v="0"/>
    <n v="1.8529012000000001E-2"/>
    <n v="5.6699999999999996E-29"/>
    <n v="0.98147098799999999"/>
    <n v="6.8200000000000001E-19"/>
  </r>
  <r>
    <x v="1"/>
    <s v="Diatraea_Validation._V5"/>
    <x v="287"/>
    <n v="-0.12935933099999999"/>
    <n v="-0.57457681100000002"/>
    <n v="-7.2208879421957153E-2"/>
    <n v="-0.70393614199999999"/>
    <n v="0.33094011299999998"/>
    <n v="-0.77614502142195718"/>
    <n v="0.31515131630834703"/>
    <n v="-7.7494646E-2"/>
    <n v="-0.80976737799999998"/>
    <n v="-0.15262980225704867"/>
    <n v="-0.88726202300000001"/>
    <n v="0.29167517300000001"/>
    <n v="-1.0398918262570487"/>
    <n v="0.26117086665170153"/>
    <n v="-0.103426988"/>
    <n v="0.31130764300000002"/>
    <n v="-0.7955990825"/>
    <n v="-0.90801842383950293"/>
    <n v="0.28816109148002428"/>
    <x v="0"/>
    <n v="0.97062011599999998"/>
    <n v="1.1800000000000001E-18"/>
    <n v="2.9379883999999998E-2"/>
    <n v="3.4700000000000002E-20"/>
  </r>
  <r>
    <x v="1"/>
    <s v="Diatraea_Validation._V5"/>
    <x v="288"/>
    <n v="5.5590999999999995E-4"/>
    <n v="-0.57457681100000002"/>
    <n v="-7.2208879421957153E-2"/>
    <n v="-0.57402090100000003"/>
    <n v="0.36030954199999998"/>
    <n v="-0.64622978042195722"/>
    <n v="0.34383964992098165"/>
    <n v="0.13175382399999999"/>
    <n v="-0.80976737799999998"/>
    <n v="-0.15262980225704867"/>
    <n v="-0.67801355299999999"/>
    <n v="0.336704801"/>
    <n v="-0.83064335625704866"/>
    <n v="0.30350905306589249"/>
    <n v="6.6154867000000006E-2"/>
    <n v="0.348507171"/>
    <n v="-0.62601722699999995"/>
    <n v="-0.73843656833950289"/>
    <n v="0.32367435149343704"/>
    <x v="0"/>
    <n v="1.4231597E-2"/>
    <n v="5.23E-28"/>
    <n v="0.98576840300000002"/>
    <n v="5.3899999999999998E-19"/>
  </r>
  <r>
    <x v="1"/>
    <s v="Diatraea_Validation._V5"/>
    <x v="289"/>
    <n v="-5.4773516000000001E-2"/>
    <n v="-0.57457681100000002"/>
    <n v="-7.2208879421957153E-2"/>
    <n v="-0.62935032700000004"/>
    <n v="0.34765786399999998"/>
    <n v="-0.70155920642195724"/>
    <n v="0.33146662239736274"/>
    <n v="-0.151190508"/>
    <n v="-0.80976737799999998"/>
    <n v="-0.15262980225704867"/>
    <n v="-0.96095788599999998"/>
    <n v="0.276686451"/>
    <n v="-1.1135876882570486"/>
    <n v="0.24720263775985626"/>
    <n v="-0.102982012"/>
    <n v="0.31217215700000001"/>
    <n v="-0.79515410650000007"/>
    <n v="-0.90757344733950296"/>
    <n v="0.28933463007860949"/>
    <x v="0"/>
    <n v="0.99996157299999999"/>
    <n v="3.8100000000000003E-27"/>
    <n v="3.8399999999999998E-5"/>
    <n v="2.41E-17"/>
  </r>
  <r>
    <x v="1"/>
    <s v="Diatraea_Validation._V5"/>
    <x v="290"/>
    <n v="-0.159802412"/>
    <n v="-0.57457681100000002"/>
    <n v="-7.2208879421957153E-2"/>
    <n v="-0.73437922300000003"/>
    <n v="0.32423447399999999"/>
    <n v="-0.80658810242195722"/>
    <n v="0.30861802655050208"/>
    <n v="-0.26626250400000001"/>
    <n v="-0.80976737799999998"/>
    <n v="-0.15262980225704867"/>
    <n v="-1.076029882"/>
    <n v="0.25425806000000001"/>
    <n v="-1.2286596842570487"/>
    <n v="0.22641609842391558"/>
    <n v="-0.21303245800000001"/>
    <n v="0.289246267"/>
    <n v="-0.90520455250000009"/>
    <n v="-1.017623893339503"/>
    <n v="0.26751706248720886"/>
    <x v="0"/>
    <n v="0.998755277"/>
    <n v="4.4900000000000001E-25"/>
    <n v="1.2447230000000001E-3"/>
    <n v="2.3600000000000001E-17"/>
  </r>
  <r>
    <x v="1"/>
    <s v="Diatraea_Validation._V6-V5"/>
    <x v="291"/>
    <n v="0.10668340599999999"/>
    <n v="-0.57457681100000002"/>
    <n v="9.5030818057487976E-3"/>
    <n v="-0.46789340499999998"/>
    <n v="0.38511496699999997"/>
    <n v="-0.45839032319425121"/>
    <n v="0.38736775333828088"/>
    <n v="-5.1481698999999999E-2"/>
    <n v="-0.80976737799999998"/>
    <n v="-1.6947105307120725E-2"/>
    <n v="-0.86124907699999997"/>
    <n v="0.297078444"/>
    <n v="-0.87819618230712071"/>
    <n v="0.29355171365243304"/>
    <n v="2.7600853000000002E-2"/>
    <n v="0.34109670600000003"/>
    <n v="-0.66457124099999998"/>
    <n v="-0.66829325275068596"/>
    <n v="0.34045973349535696"/>
    <x v="1"/>
    <m/>
    <m/>
    <m/>
    <m/>
  </r>
  <r>
    <x v="1"/>
    <s v="Diatraea_Validation._V6-V5"/>
    <x v="292"/>
    <n v="-0.16608648600000001"/>
    <n v="-0.57457681100000002"/>
    <n v="9.5030818057487976E-3"/>
    <n v="-0.740663297"/>
    <n v="0.322859116"/>
    <n v="-0.73116021519425123"/>
    <n v="0.32494017783363993"/>
    <n v="4.9237042000000002E-2"/>
    <n v="-0.80976737799999998"/>
    <n v="-1.6947105307120725E-2"/>
    <n v="-0.760530335"/>
    <n v="0.31853113599999999"/>
    <n v="-0.77747744130712071"/>
    <n v="0.31486380969417832"/>
    <n v="-5.8424721999999998E-2"/>
    <n v="0.320695126"/>
    <n v="-0.75059681600000006"/>
    <n v="-0.75431882825068597"/>
    <n v="0.31990199376390915"/>
    <x v="1"/>
    <m/>
    <m/>
    <m/>
    <m/>
  </r>
  <r>
    <x v="1"/>
    <s v="Diatraea_Validation._V6-V5"/>
    <x v="293"/>
    <n v="0.24027921099999999"/>
    <n v="-0.57457681100000002"/>
    <n v="9.5030818057487976E-3"/>
    <n v="-0.33429759999999997"/>
    <n v="0.41719531999999998"/>
    <n v="-0.3247945181942512"/>
    <n v="0.41950773348534276"/>
    <n v="0.425738542"/>
    <n v="-0.80976737799999998"/>
    <n v="-1.6947105307120725E-2"/>
    <n v="-0.38402883599999998"/>
    <n v="0.405155559"/>
    <n v="-0.40097594130712072"/>
    <n v="0.40107788210132667"/>
    <n v="0.33300887600000001"/>
    <n v="0.41117544"/>
    <n v="-0.35916321799999995"/>
    <n v="-0.36288522975068593"/>
    <n v="0.41029280779333471"/>
    <x v="1"/>
    <m/>
    <m/>
    <m/>
    <m/>
  </r>
  <r>
    <x v="1"/>
    <s v="Diatraea_Validation._V6-V5"/>
    <x v="2"/>
    <n v="7.7840375000000003E-2"/>
    <n v="-0.57457681100000002"/>
    <n v="9.5030818057487976E-3"/>
    <n v="-0.49673643699999998"/>
    <n v="0.37830792400000002"/>
    <n v="-0.48723335419425118"/>
    <n v="0.38054553493447968"/>
    <n v="0.51540331100000003"/>
    <n v="-0.80976737799999998"/>
    <n v="-1.6947105307120725E-2"/>
    <n v="-0.29436406700000001"/>
    <n v="0.426935809"/>
    <n v="-0.31131117230712069"/>
    <n v="0.42279472888690667"/>
    <n v="0.296621843"/>
    <n v="0.40262186599999999"/>
    <n v="-0.39555025199999999"/>
    <n v="-0.39927226325068593"/>
    <n v="0.40167013191069317"/>
    <x v="1"/>
    <n v="2E-14"/>
    <n v="2.4500000000000002E-35"/>
    <n v="1.3600000000000001E-12"/>
    <n v="1"/>
  </r>
  <r>
    <x v="1"/>
    <s v="Diatraea_Validation._V6-V5"/>
    <x v="294"/>
    <n v="-0.57768908200000002"/>
    <n v="-0.57457681100000002"/>
    <n v="9.5030818057487976E-3"/>
    <n v="-1.1522658939999999"/>
    <n v="0.24007545199999999"/>
    <n v="-1.1427628111942512"/>
    <n v="0.24181346672629039"/>
    <n v="-1.3690700149999999"/>
    <n v="-0.80976737799999998"/>
    <n v="-1.6947105307120725E-2"/>
    <n v="-2.1788373929999998"/>
    <n v="0.101667061"/>
    <n v="-2.1957844983071206"/>
    <n v="0.1001296817910185"/>
    <n v="-0.97337954900000001"/>
    <n v="0.170871256"/>
    <n v="-1.6655516434999997"/>
    <n v="-1.6692736547506859"/>
    <n v="0.17097157425865445"/>
    <x v="0"/>
    <n v="1.64E-44"/>
    <n v="1"/>
    <n v="1.06E-47"/>
    <n v="1.25E-71"/>
  </r>
  <r>
    <x v="1"/>
    <s v="Diatraea_Validation._V6-V5"/>
    <x v="295"/>
    <n v="0.158808586"/>
    <n v="-0.57457681100000002"/>
    <n v="9.5030818057487976E-3"/>
    <n v="-0.41576822499999999"/>
    <n v="0.39752981900000001"/>
    <n v="-0.40626514319425122"/>
    <n v="0.39980800694969731"/>
    <n v="0.36520467000000001"/>
    <n v="-0.80976737799999998"/>
    <n v="-1.6947105307120725E-2"/>
    <n v="-0.44456270799999997"/>
    <n v="0.39065430600000001"/>
    <n v="-0.46150981330712071"/>
    <n v="0.38662771534964951"/>
    <n v="0.26200662800000002"/>
    <n v="0.39409206200000002"/>
    <n v="-0.43016546649999998"/>
    <n v="-0.43388747825068597"/>
    <n v="0.39321786114967339"/>
    <x v="0"/>
    <n v="0.99938241900000002"/>
    <n v="8.9199999999999997E-27"/>
    <n v="6.1758099999999997E-4"/>
    <n v="2.21E-15"/>
  </r>
  <r>
    <x v="1"/>
    <s v="Diatraea_Validation._V6-V5"/>
    <x v="296"/>
    <n v="1.7825059000000001E-2"/>
    <n v="-0.57457681100000002"/>
    <n v="9.5030818057487976E-3"/>
    <n v="-0.55675175300000002"/>
    <n v="0.36429937400000001"/>
    <n v="-0.54724867019425127"/>
    <n v="0.36650297379348434"/>
    <n v="-5.1481698999999999E-2"/>
    <n v="-0.80976737799999998"/>
    <n v="-1.6947105307120725E-2"/>
    <n v="-0.86124907699999997"/>
    <n v="0.297078444"/>
    <n v="-0.87819618230712071"/>
    <n v="0.29355171365243304"/>
    <n v="-1.6828320000000001E-2"/>
    <n v="0.33068890899999998"/>
    <n v="-0.70900041499999999"/>
    <n v="-0.71272242625068594"/>
    <n v="0.33002734372295872"/>
    <x v="0"/>
    <n v="2.7464697E-2"/>
    <n v="1.4000000000000001E-26"/>
    <n v="0.97253530300000002"/>
    <n v="1.5799999999999999E-17"/>
  </r>
  <r>
    <x v="1"/>
    <s v="Diatraea_Validation._V6-V5"/>
    <x v="297"/>
    <n v="0.29755393699999999"/>
    <n v="-0.57457681100000002"/>
    <n v="9.5030818057487976E-3"/>
    <n v="-0.27702287399999997"/>
    <n v="0.43118380899999997"/>
    <n v="-0.26751979219425126"/>
    <n v="0.43351608346111226"/>
    <n v="0.51540331100000003"/>
    <n v="-0.80976737799999998"/>
    <n v="-1.6947105307120725E-2"/>
    <n v="-0.29436406700000001"/>
    <n v="0.426935809"/>
    <n v="-0.31131117230712069"/>
    <n v="0.42279472888690667"/>
    <n v="0.40647862400000001"/>
    <n v="0.42905980900000001"/>
    <n v="-0.28569347049999999"/>
    <n v="-0.28941548225068597"/>
    <n v="0.42815540617400949"/>
    <x v="0"/>
    <n v="4.9655752999999997E-2"/>
    <n v="7.2799999999999995E-29"/>
    <n v="0.95034424699999998"/>
    <n v="3.8099999999999999E-17"/>
  </r>
  <r>
    <x v="1"/>
    <s v="Diatraea_Validation._V6-V5"/>
    <x v="298"/>
    <n v="-6.9662146999999994E-2"/>
    <n v="-0.57457681100000002"/>
    <n v="9.5030818057487976E-3"/>
    <n v="-0.64423895900000006"/>
    <n v="0.34428894700000001"/>
    <n v="-0.6347358761942512"/>
    <n v="0.3464374692035746"/>
    <n v="1.6036911000000001E-2"/>
    <n v="-0.80976737799999998"/>
    <n v="-1.6947105307120725E-2"/>
    <n v="-0.79373046700000005"/>
    <n v="0.31136822800000002"/>
    <n v="-0.81067757230712068"/>
    <n v="0.30774612794436257"/>
    <n v="-2.6812618E-2"/>
    <n v="0.327828587"/>
    <n v="-0.718984713"/>
    <n v="-0.72270672425068594"/>
    <n v="0.32709179857396858"/>
    <x v="0"/>
    <n v="0.99991426699999997"/>
    <n v="1.4900000000000001E-29"/>
    <n v="8.5699999999999996E-5"/>
    <n v="2.6800000000000002E-15"/>
  </r>
  <r>
    <x v="1"/>
    <s v="Diatraea_Validation._V6-V5"/>
    <x v="299"/>
    <n v="7.5993502000000004E-2"/>
    <n v="-0.57457681100000002"/>
    <n v="9.5030818057487976E-3"/>
    <n v="-0.49858330899999997"/>
    <n v="0.377873654"/>
    <n v="-0.48908022719425126"/>
    <n v="0.38011026654865349"/>
    <n v="0.114620861"/>
    <n v="-0.80976737799999998"/>
    <n v="-1.6947105307120725E-2"/>
    <n v="-0.69514651699999996"/>
    <n v="0.33288918499999998"/>
    <n v="-0.7120936223071207"/>
    <n v="0.32913639134434142"/>
    <n v="9.5307182000000004E-2"/>
    <n v="0.35538141899999998"/>
    <n v="-0.596864913"/>
    <n v="-0.60058692475068598"/>
    <n v="0.35462332894649745"/>
    <x v="0"/>
    <n v="4.0612493999999999E-2"/>
    <n v="1.4800000000000001E-26"/>
    <n v="0.959387506"/>
    <n v="6.1600000000000003E-19"/>
  </r>
  <r>
    <x v="1"/>
    <s v="Diatraea_Validation._V6-V5"/>
    <x v="300"/>
    <n v="-2.672304E-2"/>
    <n v="-0.57457681100000002"/>
    <n v="9.5030818057487976E-3"/>
    <n v="-0.60129985100000005"/>
    <n v="0.35404636499999997"/>
    <n v="-0.59179676919425128"/>
    <n v="0.3562226982992886"/>
    <n v="-0.15589251000000001"/>
    <n v="-0.80976737799999998"/>
    <n v="-1.6947105307120725E-2"/>
    <n v="-0.96565988800000002"/>
    <n v="0.27574642300000002"/>
    <n v="-0.98260699330712076"/>
    <n v="0.27237480558269711"/>
    <n v="-9.1307774999999994E-2"/>
    <n v="0.31489639400000002"/>
    <n v="-0.78347986950000004"/>
    <n v="-0.78720188125068602"/>
    <n v="0.31429875194099288"/>
    <x v="0"/>
    <n v="0.99987024700000005"/>
    <n v="5.4900000000000001E-25"/>
    <n v="1.29753E-4"/>
    <n v="5.6900000000000002E-19"/>
  </r>
  <r>
    <x v="1"/>
    <s v="Diatraea_Validation._V6-V5"/>
    <x v="301"/>
    <n v="0.12689952099999999"/>
    <n v="-0.57457681100000002"/>
    <n v="9.5030818057487976E-3"/>
    <n v="-0.44767729099999998"/>
    <n v="0.38991315300000001"/>
    <n v="-0.43817420819425124"/>
    <n v="0.39217610477990983"/>
    <n v="-8.5843968000000007E-2"/>
    <n v="-0.80976737799999998"/>
    <n v="-1.6947105307120725E-2"/>
    <n v="-0.89561134600000003"/>
    <n v="0.28995320099999999"/>
    <n v="-0.91255845130712077"/>
    <n v="0.28647658440801493"/>
    <n v="2.0527776000000001E-2"/>
    <n v="0.33993317699999998"/>
    <n v="-0.67164431850000006"/>
    <n v="-0.675366329750686"/>
    <n v="0.33932634459396238"/>
    <x v="0"/>
    <n v="0.99901647500000001"/>
    <n v="2.2899999999999999E-32"/>
    <n v="9.8352500000000007E-4"/>
    <n v="5.95E-16"/>
  </r>
  <r>
    <x v="1"/>
    <s v="Diatraea_Validation._V6-V5"/>
    <x v="302"/>
    <n v="-2.7655332000000001E-2"/>
    <n v="-0.57457681100000002"/>
    <n v="9.5030818057487976E-3"/>
    <n v="-0.60223214400000002"/>
    <n v="0.353833181"/>
    <n v="-0.59272906119425128"/>
    <n v="0.35600892622793356"/>
    <n v="8.2091875999999994E-2"/>
    <n v="-0.80976737799999998"/>
    <n v="-1.6947105307120725E-2"/>
    <n v="-0.72767550199999997"/>
    <n v="0.32570503000000001"/>
    <n v="-0.74462260730712071"/>
    <n v="0.32199413498810758"/>
    <n v="2.7218272000000002E-2"/>
    <n v="0.33976910500000002"/>
    <n v="-0.66495382300000005"/>
    <n v="-0.668675834250686"/>
    <n v="0.33900153060802057"/>
    <x v="0"/>
    <n v="0.96695437100000003"/>
    <n v="3.2199999999999999E-31"/>
    <n v="3.3045629E-2"/>
    <n v="5.6600000000000003E-16"/>
  </r>
  <r>
    <x v="1"/>
    <s v="Diatraea_Validation._V6-V5"/>
    <x v="303"/>
    <n v="9.2475130000000006E-3"/>
    <n v="-0.57457681100000002"/>
    <n v="9.5030818057487976E-3"/>
    <n v="-0.56532929799999998"/>
    <n v="0.36231526200000003"/>
    <n v="-0.55582621619425121"/>
    <n v="0.36451374167222761"/>
    <n v="-0.19162986700000001"/>
    <n v="-0.80976737799999998"/>
    <n v="-1.6947105307120725E-2"/>
    <n v="-1.0013972449999999"/>
    <n v="0.26866679500000001"/>
    <n v="-1.0183443503071206"/>
    <n v="0.26535002646125339"/>
    <n v="-9.1191176999999998E-2"/>
    <n v="0.31549102800000001"/>
    <n v="-0.78336327149999996"/>
    <n v="-0.78708528325068583"/>
    <n v="0.3149318840667405"/>
    <x v="0"/>
    <n v="0.97117491499999997"/>
    <n v="1.1399999999999999E-26"/>
    <n v="2.8825085E-2"/>
    <n v="7.1E-16"/>
  </r>
  <r>
    <x v="1"/>
    <s v="Diatraea_Validation._V6-V5"/>
    <x v="304"/>
    <n v="-0.23472331900000001"/>
    <n v="-0.57457681100000002"/>
    <n v="9.5030818057487976E-3"/>
    <n v="-0.80930013000000001"/>
    <n v="0.308039654"/>
    <n v="-0.79979704819425124"/>
    <n v="0.31006893390530993"/>
    <n v="-0.26466943700000001"/>
    <n v="-0.80976737799999998"/>
    <n v="-1.6947105307120725E-2"/>
    <n v="-1.0744368150000001"/>
    <n v="0.25456024100000002"/>
    <n v="-1.0913839203071205"/>
    <n v="0.25135776676540816"/>
    <n v="-0.249696378"/>
    <n v="0.28129994699999999"/>
    <n v="-0.94186847250000005"/>
    <n v="-0.94559048425068593"/>
    <n v="0.28071335033535905"/>
    <x v="0"/>
    <n v="0.997205169"/>
    <n v="1.3500000000000001E-25"/>
    <n v="2.7948309999999998E-3"/>
    <n v="8.8700000000000004E-17"/>
  </r>
  <r>
    <x v="1"/>
    <s v="Diatraea_Validation._V6-V5"/>
    <x v="305"/>
    <n v="1.7413970000000001E-2"/>
    <n v="-0.57457681100000002"/>
    <n v="9.5030818057487976E-3"/>
    <n v="-0.55716284199999999"/>
    <n v="0.36420417700000002"/>
    <n v="-0.54765975919425125"/>
    <n v="0.36640753298706763"/>
    <n v="0.178774919"/>
    <n v="-0.80976737799999998"/>
    <n v="-1.6947105307120725E-2"/>
    <n v="-0.63099245900000001"/>
    <n v="0.34728553499999998"/>
    <n v="-0.64793956430712074"/>
    <n v="0.34345400189558983"/>
    <n v="9.8094444000000003E-2"/>
    <n v="0.355744856"/>
    <n v="-0.59407765050000005"/>
    <n v="-0.597799661750686"/>
    <n v="0.35493076744132873"/>
    <x v="0"/>
    <n v="0.98934444399999999"/>
    <n v="1.0599999999999999E-29"/>
    <n v="1.0655556E-2"/>
    <n v="3.8799999999999999E-15"/>
  </r>
  <r>
    <x v="1"/>
    <s v="Diatraea_Validation._V7-V5"/>
    <x v="306"/>
    <n v="-0.13077920200000001"/>
    <n v="-0.57457681100000002"/>
    <n v="-0.40867213275064479"/>
    <n v="-0.70535601299999995"/>
    <n v="0.33062580200000002"/>
    <n v="-1.1140281457506449"/>
    <n v="0.24712068061303688"/>
    <n v="-0.27230535"/>
    <n v="-0.80976737799999998"/>
    <n v="-0.70604191684048312"/>
    <n v="-1.082072728"/>
    <n v="0.25311397299999999"/>
    <n v="-1.788114644840483"/>
    <n v="0.14330402911157558"/>
    <n v="-0.20154227599999999"/>
    <n v="0.29186988699999999"/>
    <n v="-0.89371437049999991"/>
    <n v="-1.4510713952955641"/>
    <n v="0.19521235486230623"/>
    <x v="1"/>
    <m/>
    <m/>
    <m/>
    <m/>
  </r>
  <r>
    <x v="1"/>
    <s v="Diatraea_Validation._V7-V5"/>
    <x v="307"/>
    <n v="9.0042213999999995E-2"/>
    <n v="-0.57457681100000002"/>
    <n v="-0.40867213275064479"/>
    <n v="-0.48453459799999998"/>
    <n v="0.38118191899999998"/>
    <n v="-0.89320672975064475"/>
    <n v="0.29044851453301962"/>
    <n v="0.189289764"/>
    <n v="-0.80976737799999998"/>
    <n v="-0.70604191684048312"/>
    <n v="-0.62047761400000001"/>
    <n v="0.34967283300000002"/>
    <n v="-1.3265195308404831"/>
    <n v="0.20973565839895406"/>
    <n v="0.13966598899999999"/>
    <n v="0.36542737600000003"/>
    <n v="-0.55250610600000005"/>
    <n v="-1.1098631302955639"/>
    <n v="0.25009208646598685"/>
    <x v="1"/>
    <m/>
    <m/>
    <m/>
    <m/>
  </r>
  <r>
    <x v="1"/>
    <s v="Diatraea_Validation._V7-V5"/>
    <x v="308"/>
    <n v="-0.14217972200000001"/>
    <n v="-0.57457681100000002"/>
    <n v="-0.40867213275064479"/>
    <n v="-0.71675653299999997"/>
    <n v="0.32810761599999999"/>
    <n v="-1.1254286657506449"/>
    <n v="0.24500571076956007"/>
    <n v="-0.22075534899999999"/>
    <n v="-0.80976737799999998"/>
    <n v="-0.70604191684048312"/>
    <n v="-1.0305227269999999"/>
    <n v="0.262982775"/>
    <n v="-1.7365646438404831"/>
    <n v="0.14974981449418778"/>
    <n v="-0.18146753500000001"/>
    <n v="0.29554519600000001"/>
    <n v="-0.87363963"/>
    <n v="-1.4309966547955639"/>
    <n v="0.19737776263187393"/>
    <x v="1"/>
    <m/>
    <m/>
    <m/>
    <m/>
  </r>
  <r>
    <x v="1"/>
    <s v="Diatraea_Validation._V7-V5"/>
    <x v="27"/>
    <n v="-0.30610625499999999"/>
    <n v="-0.57457681100000002"/>
    <n v="-0.40867213275064479"/>
    <n v="-0.88068306699999999"/>
    <n v="0.29303625100000003"/>
    <n v="-1.2893551987506449"/>
    <n v="0.21596197011992169"/>
    <n v="-0.61717717699999997"/>
    <n v="-0.80976737799999998"/>
    <n v="-0.70604191684048312"/>
    <n v="-1.4269445549999999"/>
    <n v="0.193575204"/>
    <n v="-2.132986471840483"/>
    <n v="0.10593180908833622"/>
    <n v="-0.46164171599999998"/>
    <n v="0.243305728"/>
    <n v="-1.153813811"/>
    <n v="-1.7111708352955639"/>
    <n v="0.16094688960412895"/>
    <x v="1"/>
    <n v="1.64E-44"/>
    <n v="1"/>
    <n v="1.06E-47"/>
    <n v="1.25E-71"/>
  </r>
  <r>
    <x v="1"/>
    <s v="Diatraea_Validation._V7-V5"/>
    <x v="2"/>
    <n v="0.38031530200000002"/>
    <n v="-0.57457681100000002"/>
    <n v="-0.40867213275064479"/>
    <n v="-0.194261509"/>
    <n v="0.45158677699999999"/>
    <n v="-0.60293364175064479"/>
    <n v="0.35367280992662425"/>
    <n v="0.56748122300000003"/>
    <n v="-0.80976737799999998"/>
    <n v="-0.70604191684048312"/>
    <n v="-0.242286155"/>
    <n v="0.43972304099999998"/>
    <n v="-0.94832807184048307"/>
    <n v="0.2792211845070014"/>
    <n v="0.47389826299999999"/>
    <n v="0.44565490899999999"/>
    <n v="-0.218273832"/>
    <n v="-0.77563085679556387"/>
    <n v="0.3164469972168128"/>
    <x v="1"/>
    <n v="2E-14"/>
    <n v="2.4500000000000002E-35"/>
    <n v="1.3600000000000001E-12"/>
    <n v="1"/>
  </r>
  <r>
    <x v="1"/>
    <s v="Diatraea_Validation._V7-V5"/>
    <x v="309"/>
    <n v="-0.17437304200000001"/>
    <n v="-0.57457681100000002"/>
    <n v="-0.40867213275064479"/>
    <n v="-0.74894985400000003"/>
    <n v="0.32105016600000003"/>
    <n v="-1.1576219857506449"/>
    <n v="0.23909965123218013"/>
    <n v="-0.27230535"/>
    <n v="-0.80976737799999998"/>
    <n v="-0.70604191684048312"/>
    <n v="-1.082072728"/>
    <n v="0.25311397299999999"/>
    <n v="-1.788114644840483"/>
    <n v="0.14330402911157558"/>
    <n v="-0.22333919599999999"/>
    <n v="0.287082069"/>
    <n v="-0.91551129100000006"/>
    <n v="-1.4728683152955639"/>
    <n v="0.19120184017187786"/>
    <x v="0"/>
    <n v="9.4207463000000005E-2"/>
    <n v="1.2000000000000001E-28"/>
    <n v="0.90579253699999995"/>
    <n v="5.8300000000000001E-16"/>
  </r>
  <r>
    <x v="1"/>
    <s v="Diatraea_Validation._V7-V5"/>
    <x v="310"/>
    <n v="8.9092791000000005E-2"/>
    <n v="-0.57457681100000002"/>
    <n v="-0.40867213275064479"/>
    <n v="-0.48548402000000002"/>
    <n v="0.38095799299999999"/>
    <n v="-0.89415615275064475"/>
    <n v="0.29025288861476306"/>
    <n v="0.10525167000000001"/>
    <n v="-0.80976737799999998"/>
    <n v="-0.70604191684048312"/>
    <n v="-0.70451570799999996"/>
    <n v="0.33081179900000002"/>
    <n v="-1.4105576248404832"/>
    <n v="0.19614611918768488"/>
    <n v="9.7172229999999998E-2"/>
    <n v="0.35588489600000001"/>
    <n v="-0.59499986400000004"/>
    <n v="-1.152356888795564"/>
    <n v="0.24319950390122397"/>
    <x v="0"/>
    <n v="0.99973295699999998"/>
    <n v="1.61E-27"/>
    <n v="2.6704300000000001E-4"/>
    <n v="2.7900000000000001E-17"/>
  </r>
  <r>
    <x v="1"/>
    <s v="Diatraea_Validation._V7-V5"/>
    <x v="311"/>
    <n v="-4.8891450000000001E-3"/>
    <n v="-0.57457681100000002"/>
    <n v="-0.40867213275064479"/>
    <n v="-0.57946595599999995"/>
    <n v="0.35905548599999998"/>
    <n v="-0.98813808875064479"/>
    <n v="0.27127999681101478"/>
    <n v="-2.7763011000000001E-2"/>
    <n v="-0.80976737799999998"/>
    <n v="-0.70604191684048312"/>
    <n v="-0.83753038899999999"/>
    <n v="0.30205516799999999"/>
    <n v="-1.5435723058404831"/>
    <n v="0.17601656656408202"/>
    <n v="-1.6326078000000001E-2"/>
    <n v="0.33055532700000001"/>
    <n v="-0.70849817249999991"/>
    <n v="-1.2658551972955641"/>
    <n v="0.22364828168754841"/>
    <x v="0"/>
    <n v="0.99974354600000004"/>
    <n v="1.5799999999999999E-25"/>
    <n v="2.5645399999999998E-4"/>
    <n v="1.2699999999999999E-15"/>
  </r>
  <r>
    <x v="1"/>
    <s v="Diatraea_Validation._V7-V5"/>
    <x v="312"/>
    <n v="0.22601953699999999"/>
    <n v="-0.57457681100000002"/>
    <n v="-0.40867213275064479"/>
    <n v="-0.34855727399999997"/>
    <n v="0.41373232199999999"/>
    <n v="-0.75722940675064487"/>
    <n v="0.31924809400007337"/>
    <n v="0.270098212"/>
    <n v="-0.80976737799999998"/>
    <n v="-0.70604191684048312"/>
    <n v="-0.53966916600000003"/>
    <n v="0.36826454600000003"/>
    <n v="-1.2457110828404829"/>
    <n v="0.22344345381371522"/>
    <n v="0.24805887500000001"/>
    <n v="0.39099843400000001"/>
    <n v="-0.44411321999999998"/>
    <n v="-1.0014702447955639"/>
    <n v="0.27134577390689429"/>
    <x v="0"/>
    <n v="0.99995627600000003"/>
    <n v="1.47E-27"/>
    <n v="4.3699999999999998E-5"/>
    <n v="4.8899999999999996E-16"/>
  </r>
  <r>
    <x v="1"/>
    <s v="Diatraea_Validation._V7-V5"/>
    <x v="313"/>
    <n v="-0.161687673"/>
    <n v="-0.57457681100000002"/>
    <n v="-0.40867213275064479"/>
    <n v="-0.73626448499999997"/>
    <n v="0.32382153800000002"/>
    <n v="-1.1449366167506447"/>
    <n v="0.24141514555075685"/>
    <n v="-0.27230535"/>
    <n v="-0.80976737799999998"/>
    <n v="-0.70604191684048312"/>
    <n v="-1.082072728"/>
    <n v="0.25311397299999999"/>
    <n v="-1.788114644840483"/>
    <n v="0.14330402911157558"/>
    <n v="-0.216996512"/>
    <n v="0.28846775499999999"/>
    <n v="-0.90916860649999998"/>
    <n v="-1.4665256307955639"/>
    <n v="0.1923595873311662"/>
    <x v="0"/>
    <n v="0.91310420699999995"/>
    <n v="2.5099999999999998E-25"/>
    <n v="8.6895792999999999E-2"/>
    <n v="9.5900000000000003E-17"/>
  </r>
  <r>
    <x v="1"/>
    <s v="Diatraea_Validation._V7-V5"/>
    <x v="314"/>
    <n v="6.6488506000000003E-2"/>
    <n v="-0.57457681100000002"/>
    <n v="-0.40867213275064479"/>
    <n v="-0.50808830500000002"/>
    <n v="0.37564177799999998"/>
    <n v="-0.91676043775064486"/>
    <n v="0.28561843702119882"/>
    <n v="0.270098212"/>
    <n v="-0.80976737799999998"/>
    <n v="-0.70604191684048312"/>
    <n v="-0.53966916600000003"/>
    <n v="0.36826454600000003"/>
    <n v="-1.2457110828404829"/>
    <n v="0.22344345381371522"/>
    <n v="0.168293359"/>
    <n v="0.371953162"/>
    <n v="-0.52387873550000008"/>
    <n v="-1.0812357602955638"/>
    <n v="0.25453094541745702"/>
    <x v="0"/>
    <n v="6.3079630999999997E-2"/>
    <n v="2.7099999999999998E-26"/>
    <n v="0.93692036899999998"/>
    <n v="4.6200000000000003E-19"/>
  </r>
  <r>
    <x v="1"/>
    <s v="Diatraea_Validation._V7-V5"/>
    <x v="315"/>
    <n v="3.0337187000000002E-2"/>
    <n v="-0.57457681100000002"/>
    <n v="-0.40867213275064479"/>
    <n v="-0.544239625"/>
    <n v="0.36720188999999998"/>
    <n v="-0.95291175675064488"/>
    <n v="0.27829962135855996"/>
    <n v="0.10525167000000001"/>
    <n v="-0.80976737799999998"/>
    <n v="-0.70604191684048312"/>
    <n v="-0.70451570799999996"/>
    <n v="0.33081179900000002"/>
    <n v="-1.4105576248404832"/>
    <n v="0.19614611918768488"/>
    <n v="6.7794428000000004E-2"/>
    <n v="0.34900684399999998"/>
    <n v="-0.62437766650000004"/>
    <n v="-1.1817346907955639"/>
    <n v="0.23722287027312242"/>
    <x v="0"/>
    <n v="0.15781521400000001"/>
    <n v="3.5799999999999997E-29"/>
    <n v="0.84218478600000002"/>
    <n v="4.7699999999999997E-17"/>
  </r>
  <r>
    <x v="1"/>
    <s v="Diatraea_Validation._V7-V5"/>
    <x v="316"/>
    <n v="-0.12270587600000001"/>
    <n v="-0.57457681100000002"/>
    <n v="-0.40867213275064479"/>
    <n v="-0.69728268800000004"/>
    <n v="0.33241496599999998"/>
    <n v="-1.1059548197506448"/>
    <n v="0.24862580411491042"/>
    <n v="-0.22075534899999999"/>
    <n v="-0.80976737799999998"/>
    <n v="-0.70604191684048312"/>
    <n v="-1.0305227269999999"/>
    <n v="0.262982775"/>
    <n v="-1.7365646438404831"/>
    <n v="0.14974981449418778"/>
    <n v="-0.171730613"/>
    <n v="0.29769887099999998"/>
    <n v="-0.86390270749999998"/>
    <n v="-1.421259731795564"/>
    <n v="0.1991878093045491"/>
    <x v="0"/>
    <n v="0.98923110299999994"/>
    <n v="1.79E-27"/>
    <n v="1.0768896999999999E-2"/>
    <n v="4.8500000000000003E-15"/>
  </r>
  <r>
    <x v="1"/>
    <s v="Diatraea_Validation._V7-V5"/>
    <x v="317"/>
    <n v="0.201179001"/>
    <n v="-0.57457681100000002"/>
    <n v="-0.40867213275064479"/>
    <n v="-0.37339781100000002"/>
    <n v="0.40772024699999998"/>
    <n v="-0.78206994275064479"/>
    <n v="0.31387393756533383"/>
    <n v="0.38601497899999998"/>
    <n v="-0.80976737799999998"/>
    <n v="-0.70604191684048312"/>
    <n v="-0.423752399"/>
    <n v="0.39561918400000001"/>
    <n v="-1.1297943158404831"/>
    <n v="0.24419906118566123"/>
    <n v="0.29359699"/>
    <n v="0.40166971499999998"/>
    <n v="-0.39857510500000004"/>
    <n v="-0.95593212929556393"/>
    <n v="0.27903649937549752"/>
    <x v="0"/>
    <n v="0.99995119799999999"/>
    <n v="2.5699999999999999E-28"/>
    <n v="4.88E-5"/>
    <n v="4.8799999999999999E-17"/>
  </r>
  <r>
    <x v="1"/>
    <s v="Diatraea_Validation._V7-V5"/>
    <x v="318"/>
    <n v="-0.143151901"/>
    <n v="-0.57457681100000002"/>
    <n v="-0.40867213275064479"/>
    <n v="-0.71772871199999999"/>
    <n v="0.32789333199999998"/>
    <n v="-1.1264008447506448"/>
    <n v="0.24482592371099154"/>
    <n v="-7.4194503999999994E-2"/>
    <n v="-0.80976737799999998"/>
    <n v="-0.70604191684048312"/>
    <n v="-0.88396188099999995"/>
    <n v="0.29235745299999999"/>
    <n v="-1.5900037988404829"/>
    <n v="0.16938336246445482"/>
    <n v="-0.108673202"/>
    <n v="0.310125392"/>
    <n v="-0.80084529649999991"/>
    <n v="-1.3582023217955639"/>
    <n v="0.20710464308772319"/>
    <x v="0"/>
    <n v="0.99980052500000005"/>
    <n v="3.6499999999999997E-27"/>
    <n v="1.9947500000000001E-4"/>
    <n v="6.5800000000000004E-16"/>
  </r>
  <r>
    <x v="1"/>
    <s v="Diatraea_Validation._V7-V5"/>
    <x v="319"/>
    <n v="0.14454792299999999"/>
    <n v="-0.57457681100000002"/>
    <n v="-0.40867213275064479"/>
    <n v="-0.43002888900000003"/>
    <n v="0.39411943300000002"/>
    <n v="-0.8387010207506449"/>
    <n v="0.30180843455026091"/>
    <n v="0.270098212"/>
    <n v="-0.80976737799999998"/>
    <n v="-0.70604191684048312"/>
    <n v="-0.53966916600000003"/>
    <n v="0.36826454600000003"/>
    <n v="-1.2457110828404829"/>
    <n v="0.22344345381371522"/>
    <n v="0.207323067"/>
    <n v="0.38119198999999998"/>
    <n v="-0.48484902750000003"/>
    <n v="-1.042206051795564"/>
    <n v="0.26262594418198804"/>
    <x v="0"/>
    <n v="0.99994609400000001"/>
    <n v="3.0599999999999999E-27"/>
    <n v="5.3900000000000002E-5"/>
    <n v="9.7899999999999998E-17"/>
  </r>
  <r>
    <x v="1"/>
    <s v="Diatraea_Validation._V8-V7"/>
    <x v="27"/>
    <n v="-0.63246612899999999"/>
    <n v="-0.57457681100000002"/>
    <n v="-4.6370389673564522E-2"/>
    <n v="-1.20704294"/>
    <n v="0.23022468700000001"/>
    <n v="-1.2534133296735646"/>
    <n v="0.2221098344248269"/>
    <n v="-0.98084412200000004"/>
    <n v="-0.80976737799999998"/>
    <n v="-0.13190576120816735"/>
    <n v="-1.7906115"/>
    <n v="0.142997768"/>
    <n v="-1.9225172612081673"/>
    <n v="0.12758112186470999"/>
    <n v="-0.80665512500000003"/>
    <n v="0.18661122699999999"/>
    <n v="-1.4988272199999999"/>
    <n v="-1.5879652954408661"/>
    <n v="0.17484547814476845"/>
    <x v="1"/>
    <n v="1.64E-44"/>
    <n v="1"/>
    <n v="1.06E-47"/>
    <n v="1.25E-71"/>
  </r>
  <r>
    <x v="1"/>
    <s v="Diatraea_Validation._V8-V7"/>
    <x v="2"/>
    <n v="0.41992489"/>
    <n v="-0.57457681100000002"/>
    <n v="-4.6370389673564522E-2"/>
    <n v="-0.154651921"/>
    <n v="0.46141389500000002"/>
    <n v="-0.20102231067356455"/>
    <n v="0.44991297676600633"/>
    <n v="0.79205430600000004"/>
    <n v="-0.80976737799999998"/>
    <n v="-0.13190576120816735"/>
    <n v="-1.7713072E-2"/>
    <n v="0.49557184799999998"/>
    <n v="-0.1496188332081673"/>
    <n v="0.46266491369285973"/>
    <n v="0.60598959799999996"/>
    <n v="0.47849287099999999"/>
    <n v="-8.6182496499999997E-2"/>
    <n v="-0.17532057194086592"/>
    <n v="0.45628894522943303"/>
    <x v="1"/>
    <n v="2E-14"/>
    <n v="2.4500000000000002E-35"/>
    <n v="1.3600000000000001E-12"/>
    <n v="1"/>
  </r>
  <r>
    <x v="1"/>
    <s v="Diatraea_Validation._V8-V7"/>
    <x v="320"/>
    <n v="-5.6501788999999997E-2"/>
    <n v="-0.57457681100000002"/>
    <n v="-4.6370389673564522E-2"/>
    <n v="-0.63107860000000005"/>
    <n v="0.34726600899999999"/>
    <n v="-0.67744898967356459"/>
    <n v="0.33683089928055143"/>
    <n v="-5.8923198000000003E-2"/>
    <n v="-0.80976737799999998"/>
    <n v="-0.13190576120816735"/>
    <n v="-0.86869057599999999"/>
    <n v="0.29552683899999999"/>
    <n v="-1.0005963372081674"/>
    <n v="0.26882419051520967"/>
    <n v="-5.7712494000000003E-2"/>
    <n v="0.32139642400000001"/>
    <n v="-0.74988458800000002"/>
    <n v="-0.83902266344086596"/>
    <n v="0.30282754489788055"/>
    <x v="0"/>
    <n v="0.99997318300000004"/>
    <n v="3.9999999999999998E-29"/>
    <n v="2.6800000000000001E-5"/>
    <n v="1.24E-15"/>
  </r>
  <r>
    <x v="1"/>
    <s v="Diatraea_Validation._V8-V7"/>
    <x v="321"/>
    <n v="5.8462840000000002E-2"/>
    <n v="-0.57457681100000002"/>
    <n v="-4.6370389673564522E-2"/>
    <n v="-0.516113971"/>
    <n v="0.37376136500000001"/>
    <n v="-0.56248436067356455"/>
    <n v="0.36297282169248285"/>
    <n v="0.14747015099999999"/>
    <n v="-0.80976737799999998"/>
    <n v="-0.13190576120816735"/>
    <n v="-0.66229722700000004"/>
    <n v="0.34022375999999999"/>
    <n v="-0.79420298820816737"/>
    <n v="0.31126691956413088"/>
    <n v="0.102966496"/>
    <n v="0.35699256299999998"/>
    <n v="-0.58920559900000002"/>
    <n v="-0.67834367444086596"/>
    <n v="0.33711987062830684"/>
    <x v="0"/>
    <n v="0.99973785699999995"/>
    <n v="3.91E-27"/>
    <n v="2.62143E-4"/>
    <n v="1.2800000000000001E-15"/>
  </r>
  <r>
    <x v="1"/>
    <s v="Diatraea_Validation._V8-V7"/>
    <x v="322"/>
    <n v="0.21899706899999999"/>
    <n v="-0.57457681100000002"/>
    <n v="-4.6370389673564522E-2"/>
    <n v="-0.35557974199999998"/>
    <n v="0.41203000499999998"/>
    <n v="-0.40195013167356453"/>
    <n v="0.40084389010082655"/>
    <n v="0.495205544"/>
    <n v="-0.80976737799999998"/>
    <n v="-0.13190576120816735"/>
    <n v="-0.31456183399999998"/>
    <n v="0.42200163899999998"/>
    <n v="-0.44646759520816737"/>
    <n v="0.39020095443099545"/>
    <n v="0.35710130600000001"/>
    <n v="0.41701582199999998"/>
    <n v="-0.33507078800000001"/>
    <n v="-0.42420886344086595"/>
    <n v="0.395522422265911"/>
    <x v="0"/>
    <n v="0.99958385699999996"/>
    <n v="8.7299999999999999E-32"/>
    <n v="4.16143E-4"/>
    <n v="3.7000000000000002E-15"/>
  </r>
  <r>
    <x v="1"/>
    <s v="Diatraea_Validation._V8-V7"/>
    <x v="323"/>
    <n v="0.16549383000000001"/>
    <n v="-0.57457681100000002"/>
    <n v="-4.6370389673564522E-2"/>
    <n v="-0.40908298100000001"/>
    <n v="0.399132025"/>
    <n v="-0.45545337067356451"/>
    <n v="0.38806496335407864"/>
    <n v="0.309434557"/>
    <n v="-0.80976737799999998"/>
    <n v="-0.13190576120816735"/>
    <n v="-0.50033282099999998"/>
    <n v="0.377462458"/>
    <n v="-0.63223858220816731"/>
    <n v="0.34700311951237695"/>
    <n v="0.23746419399999999"/>
    <n v="0.38829724199999999"/>
    <n v="-0.45470790100000003"/>
    <n v="-0.54384597644086585"/>
    <n v="0.36753404143322776"/>
    <x v="0"/>
    <n v="0.99986736499999995"/>
    <n v="3.37E-29"/>
    <n v="1.3263500000000001E-4"/>
    <n v="2.26E-15"/>
  </r>
  <r>
    <x v="1"/>
    <s v="Diatraea_Validation._V8-V7"/>
    <x v="324"/>
    <n v="8.0529062999999998E-2"/>
    <n v="-0.57457681100000002"/>
    <n v="-4.6370389673564522E-2"/>
    <n v="-0.49404774800000001"/>
    <n v="0.37894048600000002"/>
    <n v="-0.5404181376735645"/>
    <n v="0.3680903181463494"/>
    <n v="0.11408792299999999"/>
    <n v="-0.80976737799999998"/>
    <n v="-0.13190576120816735"/>
    <n v="-0.69567945499999995"/>
    <n v="0.33277084299999998"/>
    <n v="-0.82758521620816727"/>
    <n v="0.30415590547761923"/>
    <n v="9.7308492999999996E-2"/>
    <n v="0.35585566499999999"/>
    <n v="-0.59486360149999995"/>
    <n v="-0.68400167694086589"/>
    <n v="0.33612311181198429"/>
    <x v="0"/>
    <n v="0.98650325800000005"/>
    <n v="1.5700000000000001E-29"/>
    <n v="1.3496742000000001E-2"/>
    <n v="2.6999999999999999E-14"/>
  </r>
  <r>
    <x v="1"/>
    <s v="Diatraea_Validation._V8-V7"/>
    <x v="325"/>
    <n v="-0.29137004100000002"/>
    <n v="-0.57457681100000002"/>
    <n v="-4.6370389673564522E-2"/>
    <n v="-0.86594685199999999"/>
    <n v="0.29609837700000002"/>
    <n v="-0.91231724167356454"/>
    <n v="0.28652589206602608"/>
    <n v="-0.925376584"/>
    <n v="-0.80976737799999998"/>
    <n v="-0.13190576120816735"/>
    <n v="-1.735143962"/>
    <n v="0.14993079300000001"/>
    <n v="-1.8670497232081673"/>
    <n v="0.1338834633627812"/>
    <n v="-0.60837331299999997"/>
    <n v="0.22301458499999999"/>
    <n v="-1.300545407"/>
    <n v="-1.3896834824408659"/>
    <n v="0.21020467771440365"/>
    <x v="0"/>
    <n v="0.99997265099999999"/>
    <n v="5.5900000000000002E-26"/>
    <n v="2.73E-5"/>
    <n v="6.6900000000000002E-16"/>
  </r>
  <r>
    <x v="1"/>
    <s v="Diatraea_Validation._V8-V7"/>
    <x v="326"/>
    <n v="2.8254623E-2"/>
    <n v="-0.57457681100000002"/>
    <n v="-4.6370389673564522E-2"/>
    <n v="-0.54632218799999999"/>
    <n v="0.36671810999999999"/>
    <n v="-0.59269257767356454"/>
    <n v="0.35601729072354787"/>
    <n v="0.11408792299999999"/>
    <n v="-0.80976737799999998"/>
    <n v="-0.13190576120816735"/>
    <n v="-0.69567945499999995"/>
    <n v="0.33277084299999998"/>
    <n v="-0.82758521620816727"/>
    <n v="0.30415590547761923"/>
    <n v="7.1171272999999993E-2"/>
    <n v="0.34974447600000003"/>
    <n v="-0.62100082150000002"/>
    <n v="-0.71013889694086596"/>
    <n v="0.33008659810058355"/>
    <x v="0"/>
    <n v="0.99529591900000003"/>
    <n v="3.6100000000000001E-26"/>
    <n v="4.7040809999999997E-3"/>
    <n v="3.3E-17"/>
  </r>
  <r>
    <x v="1"/>
    <s v="Diatraea_Validation._V8-V7"/>
    <x v="327"/>
    <n v="8.0609165999999996E-2"/>
    <n v="-0.57457681100000002"/>
    <n v="-4.6370389673564522E-2"/>
    <n v="-0.49396764599999998"/>
    <n v="0.37895933799999998"/>
    <n v="-0.54033803467356456"/>
    <n v="0.36810895028786306"/>
    <n v="0.277639103"/>
    <n v="-0.80976737799999998"/>
    <n v="-0.13190576120816735"/>
    <n v="-0.53212827500000004"/>
    <n v="0.37002063899999998"/>
    <n v="-0.66403403620816737"/>
    <n v="0.33983400431839789"/>
    <n v="0.17912413399999999"/>
    <n v="0.374489988"/>
    <n v="-0.51304796050000001"/>
    <n v="-0.60218603544086591"/>
    <n v="0.3539714773031305"/>
    <x v="0"/>
    <n v="8.0499999999999992E-6"/>
    <n v="3.63E-32"/>
    <n v="0.99999195200000002"/>
    <n v="6.7999999999999997E-22"/>
  </r>
  <r>
    <x v="1"/>
    <s v="Diatraea_Validation._V8-V7"/>
    <x v="328"/>
    <n v="0.23943182599999999"/>
    <n v="-0.57457681100000002"/>
    <n v="-4.6370389673564522E-2"/>
    <n v="-0.33514498500000001"/>
    <n v="0.41698929800000001"/>
    <n v="-0.38151537467356456"/>
    <n v="0.4057614591752623"/>
    <n v="0.55557570300000003"/>
    <n v="-0.80976737799999998"/>
    <n v="-0.13190576120816735"/>
    <n v="-0.25419167500000001"/>
    <n v="0.43679205500000001"/>
    <n v="-0.38609743620816728"/>
    <n v="0.4046571154289999"/>
    <n v="0.39750376500000001"/>
    <n v="0.426890677"/>
    <n v="-0.29466833000000003"/>
    <n v="-0.38380640544086592"/>
    <n v="0.40520928730213113"/>
    <x v="0"/>
    <n v="1.9E-6"/>
    <n v="2.6800000000000001E-33"/>
    <n v="0.99999810099999997"/>
    <n v="2.2799999999999999E-21"/>
  </r>
  <r>
    <x v="1"/>
    <s v="Diatraea_Validation._V8-V7"/>
    <x v="329"/>
    <n v="-2.1664749000000001E-2"/>
    <n v="-0.57457681100000002"/>
    <n v="-4.6370389673564522E-2"/>
    <n v="-0.59624156100000003"/>
    <n v="0.35520403499999997"/>
    <n v="-0.64261194967356461"/>
    <n v="0.34465634349851482"/>
    <n v="-0.40459446599999999"/>
    <n v="-0.80976737799999998"/>
    <n v="-0.13190576120816735"/>
    <n v="-1.2143618430000001"/>
    <n v="0.22893018300000001"/>
    <n v="-1.3462676052081672"/>
    <n v="0.2064812425812815"/>
    <n v="-0.213129607"/>
    <n v="0.29206710899999999"/>
    <n v="-0.90530170200000004"/>
    <n v="-0.99443977744086598"/>
    <n v="0.27556879303989817"/>
    <x v="0"/>
    <n v="0.99881641200000004"/>
    <n v="7.8499999999999996E-26"/>
    <n v="1.183588E-3"/>
    <n v="1.01E-16"/>
  </r>
  <r>
    <x v="1"/>
    <s v="Diatraea_Validation._V8-V7"/>
    <x v="330"/>
    <n v="-7.0605060999999997E-2"/>
    <n v="-0.57457681100000002"/>
    <n v="-4.6370389673564522E-2"/>
    <n v="-0.64518187199999999"/>
    <n v="0.34407611100000002"/>
    <n v="-0.69155226167356454"/>
    <n v="0.33368785391597311"/>
    <n v="-9.4915534999999995E-2"/>
    <n v="-0.80976737799999998"/>
    <n v="-0.13190576120816735"/>
    <n v="-0.90468291300000003"/>
    <n v="0.28808910900000001"/>
    <n v="-1.0365886742081674"/>
    <n v="0.26180874763907191"/>
    <n v="-8.2760297999999996E-2"/>
    <n v="0.31608260999999999"/>
    <n v="-0.77493239250000001"/>
    <n v="-0.86407046794086595"/>
    <n v="0.29774830077752251"/>
    <x v="0"/>
    <n v="0.99901149600000005"/>
    <n v="1.8099999999999999E-25"/>
    <n v="9.8850400000000008E-4"/>
    <n v="2.08E-14"/>
  </r>
  <r>
    <x v="1"/>
    <s v="Diatraea_Validation._V8-V7"/>
    <x v="331"/>
    <n v="4.7888477999999998E-2"/>
    <n v="-0.57457681100000002"/>
    <n v="-4.6370389673564522E-2"/>
    <n v="-0.52668833299999995"/>
    <n v="0.37128961199999999"/>
    <n v="-0.57305872267356461"/>
    <n v="0.36053134054145453"/>
    <n v="0.18049691400000001"/>
    <n v="-0.80976737799999998"/>
    <n v="-0.13190576120816735"/>
    <n v="-0.62927046399999997"/>
    <n v="0.347675976"/>
    <n v="-0.7611762252081673"/>
    <n v="0.31839094947948404"/>
    <n v="0.114192696"/>
    <n v="0.35948279399999999"/>
    <n v="-0.57797939849999991"/>
    <n v="-0.66711747394086596"/>
    <n v="0.33946114501046931"/>
    <x v="0"/>
    <n v="0.98095740799999998"/>
    <n v="2.6699999999999999E-29"/>
    <n v="1.9042592000000001E-2"/>
    <n v="1.5399999999999999E-16"/>
  </r>
  <r>
    <x v="1"/>
    <s v="Diatraea_Validation._V8-V7"/>
    <x v="332"/>
    <n v="-5.2491680999999998E-2"/>
    <n v="-0.57457681100000002"/>
    <n v="-4.6370389673564522E-2"/>
    <n v="-0.627068493"/>
    <n v="0.34817554499999998"/>
    <n v="-0.67343888167356458"/>
    <n v="0.33772724584330038"/>
    <n v="-0.16850973699999999"/>
    <n v="-0.80976737799999998"/>
    <n v="-0.13190576120816735"/>
    <n v="-0.97827711500000003"/>
    <n v="0.27323377500000001"/>
    <n v="-1.1101828762081674"/>
    <n v="0.24783679635434347"/>
    <n v="-0.110500709"/>
    <n v="0.31070466000000002"/>
    <n v="-0.80267280399999996"/>
    <n v="-0.89181087894086597"/>
    <n v="0.2927820210988219"/>
    <x v="0"/>
    <n v="1.3890583999999999E-2"/>
    <n v="2.3400000000000001E-31"/>
    <n v="0.98610941600000002"/>
    <n v="8.7900000000000005E-20"/>
  </r>
  <r>
    <x v="1"/>
    <s v="Diatraea_Validation._V8-V7"/>
    <x v="333"/>
    <n v="-0.18879775500000001"/>
    <n v="-0.57457681100000002"/>
    <n v="-4.6370389673564522E-2"/>
    <n v="-0.76337456599999998"/>
    <n v="0.31791406"/>
    <n v="-0.80974495567356453"/>
    <n v="0.30794484676090145"/>
    <n v="-0.244460555"/>
    <n v="-0.80976737799999998"/>
    <n v="-0.13190576120816735"/>
    <n v="-1.054227933"/>
    <n v="0.25841404800000001"/>
    <n v="-1.1861336942081673"/>
    <n v="0.23395113449129457"/>
    <n v="-0.21662915499999999"/>
    <n v="0.288164054"/>
    <n v="-0.90880124949999996"/>
    <n v="-0.9979393249408659"/>
    <n v="0.27094799062609798"/>
    <x v="0"/>
    <n v="0.999727692"/>
    <n v="5.6200000000000003E-30"/>
    <n v="2.7230800000000002E-4"/>
    <n v="8.3600000000000005E-17"/>
  </r>
  <r>
    <x v="1"/>
    <s v="Diatraea_Validation._V8-V9"/>
    <x v="334"/>
    <n v="-0.18878631900000001"/>
    <n v="-0.57457681100000002"/>
    <n v="-9.2997517450181935E-2"/>
    <n v="-0.76336313"/>
    <n v="0.31791654000000003"/>
    <n v="-0.85636064745018192"/>
    <n v="0.29810027108719145"/>
    <n v="-0.25835186500000001"/>
    <n v="-0.80976737799999998"/>
    <n v="-0.11517847013335669"/>
    <n v="-1.0681192429999999"/>
    <n v="0.25576091699999998"/>
    <n v="-1.1832977131333566"/>
    <n v="0.23445977678541274"/>
    <n v="-0.223569092"/>
    <n v="0.28683872799999999"/>
    <n v="-0.91574118650000003"/>
    <n v="-1.0198291802917692"/>
    <n v="0.26628002393630212"/>
    <x v="1"/>
    <m/>
    <m/>
    <m/>
    <m/>
  </r>
  <r>
    <x v="1"/>
    <s v="Diatraea_Validation._V8-V9"/>
    <x v="27"/>
    <n v="-0.43686753900000003"/>
    <n v="-0.57457681100000002"/>
    <n v="-9.2997517450181935E-2"/>
    <n v="-1.0114443500000001"/>
    <n v="0.26669728399999998"/>
    <n v="-1.1044418674501821"/>
    <n v="0.24890854774607671"/>
    <n v="-0.50300605799999998"/>
    <n v="-0.80976737799999998"/>
    <n v="-0.11517847013335669"/>
    <n v="-1.3127734360000001"/>
    <n v="0.21202311800000001"/>
    <n v="-1.4279519061333568"/>
    <n v="0.1934180015787961"/>
    <n v="-0.46993679900000002"/>
    <n v="0.23936020099999999"/>
    <n v="-1.1621088930000001"/>
    <n v="-1.2661968867917694"/>
    <n v="0.2211632746624364"/>
    <x v="1"/>
    <n v="1.64E-44"/>
    <n v="1"/>
    <n v="1.06E-47"/>
    <n v="1.25E-71"/>
  </r>
  <r>
    <x v="1"/>
    <s v="Diatraea_Validation._V8-V9"/>
    <x v="2"/>
    <n v="0.44491746999999998"/>
    <n v="-0.57457681100000002"/>
    <n v="-9.2997517450181935E-2"/>
    <n v="-0.12965934100000001"/>
    <n v="0.4676305"/>
    <n v="-0.22265685845018196"/>
    <n v="0.44456461876894254"/>
    <n v="1.0394902539999999"/>
    <n v="-0.80976737799999998"/>
    <n v="-0.11517847013335669"/>
    <n v="0.22972287599999999"/>
    <n v="0.55717948100000003"/>
    <n v="0.11454440586664327"/>
    <n v="0.52860483268326197"/>
    <n v="0.74220386199999999"/>
    <n v="0.51240499100000003"/>
    <n v="5.0031767499999991E-2"/>
    <n v="-5.4056226291769344E-2"/>
    <n v="0.48658472572610223"/>
    <x v="1"/>
    <n v="2E-14"/>
    <n v="2.4500000000000002E-35"/>
    <n v="1.3600000000000001E-12"/>
    <n v="1"/>
  </r>
  <r>
    <x v="1"/>
    <s v="Diatraea_Validation._V8-V9"/>
    <x v="335"/>
    <n v="-0.24482037500000001"/>
    <n v="-0.57457681100000002"/>
    <n v="-9.2997517450181935E-2"/>
    <n v="-0.819397186"/>
    <n v="0.305891635"/>
    <n v="-0.91239470345018192"/>
    <n v="0.2865100569094397"/>
    <n v="-0.50300605799999998"/>
    <n v="-0.80976737799999998"/>
    <n v="-0.11517847013335669"/>
    <n v="-1.3127734360000001"/>
    <n v="0.21202311800000001"/>
    <n v="-1.4279519061333568"/>
    <n v="0.1934180015787961"/>
    <n v="-0.37391321700000002"/>
    <n v="0.25895737699999999"/>
    <n v="-1.0660853110000001"/>
    <n v="-1.1701733047917693"/>
    <n v="0.23996402924411792"/>
    <x v="0"/>
    <n v="0.99965460100000003"/>
    <n v="1.29E-27"/>
    <n v="3.4539899999999998E-4"/>
    <n v="8.92E-17"/>
  </r>
  <r>
    <x v="1"/>
    <s v="Diatraea_Validation._V8-V9"/>
    <x v="336"/>
    <n v="0.24059781999999999"/>
    <n v="-0.57457681100000002"/>
    <n v="-9.2997517450181935E-2"/>
    <n v="-0.333978991"/>
    <n v="0.41727278899999998"/>
    <n v="-0.42697650845018198"/>
    <n v="0.39484854406834724"/>
    <n v="0.57099922400000003"/>
    <n v="-0.80976737799999998"/>
    <n v="-0.11517847013335669"/>
    <n v="-0.23876815400000001"/>
    <n v="0.44058994200000001"/>
    <n v="-0.35394662413335665"/>
    <n v="0.41242570330413336"/>
    <n v="0.40579852199999999"/>
    <n v="0.42893136599999998"/>
    <n v="-0.28637357250000001"/>
    <n v="-0.39046156629176931"/>
    <n v="0.40363712368624027"/>
    <x v="0"/>
    <n v="0.974142485"/>
    <n v="8.6100000000000007E-28"/>
    <n v="2.5857515000000001E-2"/>
    <n v="1.9300000000000001E-16"/>
  </r>
  <r>
    <x v="1"/>
    <s v="Diatraea_Validation._V8-V9"/>
    <x v="337"/>
    <n v="-0.19348657"/>
    <n v="-0.57457681100000002"/>
    <n v="-9.2997517450181935E-2"/>
    <n v="-0.76806338100000004"/>
    <n v="0.316898185"/>
    <n v="-0.86106089845018197"/>
    <n v="0.29711774123080736"/>
    <n v="-0.33683808500000001"/>
    <n v="-0.80976737799999998"/>
    <n v="-0.11517847013335669"/>
    <n v="-1.146605463"/>
    <n v="0.24110965500000001"/>
    <n v="-1.2617839331333567"/>
    <n v="0.22066695093138788"/>
    <n v="-0.26516232699999998"/>
    <n v="0.27900392000000002"/>
    <n v="-0.95733442199999996"/>
    <n v="-1.0614224157917693"/>
    <n v="0.25889234608109762"/>
    <x v="0"/>
    <n v="0.99919964100000003"/>
    <n v="5.7599999999999998E-26"/>
    <n v="8.0035900000000005E-4"/>
    <n v="4.25E-15"/>
  </r>
  <r>
    <x v="1"/>
    <s v="Diatraea_Validation._V8-V9"/>
    <x v="338"/>
    <n v="0.16277457400000001"/>
    <n v="-0.57457681100000002"/>
    <n v="-9.2997517450181935E-2"/>
    <n v="-0.41180223700000002"/>
    <n v="0.398480057"/>
    <n v="-0.50479975445018199"/>
    <n v="0.37641337344459203"/>
    <n v="0.38884629100000001"/>
    <n v="-0.80976737799999998"/>
    <n v="-0.11517847013335669"/>
    <n v="-0.42092108700000003"/>
    <n v="0.39629636299999998"/>
    <n v="-0.53609955713335666"/>
    <n v="0.36909539026095284"/>
    <n v="0.27581043300000002"/>
    <n v="0.39738821000000002"/>
    <n v="-0.41636166200000002"/>
    <n v="-0.52044965579176927"/>
    <n v="0.37275438185277243"/>
    <x v="0"/>
    <n v="0.99850878300000001"/>
    <n v="1.51E-27"/>
    <n v="1.491217E-3"/>
    <n v="2.6400000000000001E-17"/>
  </r>
  <r>
    <x v="1"/>
    <s v="Diatraea_Validation._V8-V9"/>
    <x v="339"/>
    <n v="0.22229881200000001"/>
    <n v="-0.57457681100000002"/>
    <n v="-9.2997517450181935E-2"/>
    <n v="-0.35227799900000001"/>
    <n v="0.41283012099999999"/>
    <n v="-0.44527551645018193"/>
    <n v="0.39048463971887326"/>
    <n v="0.38884629100000001"/>
    <n v="-0.80976737799999998"/>
    <n v="-0.11517847013335669"/>
    <n v="-0.42092108700000003"/>
    <n v="0.39629636299999998"/>
    <n v="-0.53609955713335666"/>
    <n v="0.36909539026095284"/>
    <n v="0.305572552"/>
    <n v="0.40456324199999999"/>
    <n v="-0.38659954299999999"/>
    <n v="-0.4906875367917693"/>
    <n v="0.37979001498991305"/>
    <x v="0"/>
    <n v="0.99986070500000002"/>
    <n v="5.5500000000000001E-31"/>
    <n v="1.39295E-4"/>
    <n v="8.5999999999999997E-16"/>
  </r>
  <r>
    <x v="1"/>
    <s v="Diatraea_Validation._V8-V9"/>
    <x v="340"/>
    <n v="-0.100382241"/>
    <n v="-0.57457681100000002"/>
    <n v="-9.2997517450181935E-2"/>
    <n v="-0.67495905199999995"/>
    <n v="0.33738731700000002"/>
    <n v="-0.76795656945018198"/>
    <n v="0.31692130700368903"/>
    <n v="-0.33683808500000001"/>
    <n v="-0.80976737799999998"/>
    <n v="-0.11517847013335669"/>
    <n v="-1.146605463"/>
    <n v="0.24110965500000001"/>
    <n v="-1.2617839331333567"/>
    <n v="0.22066695093138788"/>
    <n v="-0.218610163"/>
    <n v="0.28924848600000003"/>
    <n v="-0.91078225749999997"/>
    <n v="-1.0148702512917693"/>
    <n v="0.26879412896753846"/>
    <x v="0"/>
    <n v="0.99993565399999995"/>
    <n v="7.4700000000000002E-28"/>
    <n v="6.4300000000000004E-5"/>
    <n v="6.0999999999999995E-16"/>
  </r>
  <r>
    <x v="1"/>
    <s v="Diatraea_Validation._V8-V9"/>
    <x v="341"/>
    <n v="5.1912102000000002E-2"/>
    <n v="-0.57457681100000002"/>
    <n v="-9.2997517450181935E-2"/>
    <n v="-0.52266470899999995"/>
    <n v="0.37222934699999999"/>
    <n v="-0.61566222645018198"/>
    <n v="0.3507686520231254"/>
    <n v="3.1969829999999998E-2"/>
    <n v="-0.80976737799999998"/>
    <n v="-0.11517847013335669"/>
    <n v="-0.77779754800000001"/>
    <n v="0.31479475899999998"/>
    <n v="-0.8929760181333567"/>
    <n v="0.29049606376776621"/>
    <n v="4.1940966000000003E-2"/>
    <n v="0.34351205299999998"/>
    <n v="-0.65023112849999998"/>
    <n v="-0.75431912229176934"/>
    <n v="0.32063235789544581"/>
    <x v="0"/>
    <n v="0.82970938500000002"/>
    <n v="2.5900000000000001E-26"/>
    <n v="0.17029061500000001"/>
    <n v="6.4600000000000004E-16"/>
  </r>
  <r>
    <x v="1"/>
    <s v="Diatraea_Validation._V8-V9"/>
    <x v="342"/>
    <n v="0.111240089"/>
    <n v="-0.57457681100000002"/>
    <n v="-9.2997517450181935E-2"/>
    <n v="-0.46333672199999998"/>
    <n v="0.38619456000000002"/>
    <n v="-0.55633423945018201"/>
    <n v="0.36439606950237674"/>
    <n v="0.16618355300000001"/>
    <n v="-0.80976737799999998"/>
    <n v="-0.11517847013335669"/>
    <n v="-0.643583825"/>
    <n v="0.34443686099999998"/>
    <n v="-0.75876229513335669"/>
    <n v="0.31891504563006146"/>
    <n v="0.13871182100000001"/>
    <n v="0.36531571000000002"/>
    <n v="-0.55346027350000004"/>
    <n v="-0.65754826729176941"/>
    <n v="0.34165555756621913"/>
    <x v="0"/>
    <n v="0.99998221099999995"/>
    <n v="1.7399999999999998E-24"/>
    <n v="1.7799999999999999E-5"/>
    <n v="9.0199999999999998E-18"/>
  </r>
  <r>
    <x v="1"/>
    <s v="Diatraea_Validation._V8-V9"/>
    <x v="343"/>
    <n v="-0.128203447"/>
    <n v="-0.57457681100000002"/>
    <n v="-9.2997517450181935E-2"/>
    <n v="-0.70278025799999999"/>
    <n v="0.33119609700000002"/>
    <n v="-0.79577777545018191"/>
    <n v="0.31092941733208895"/>
    <n v="-0.29724774300000001"/>
    <n v="-0.80976737799999998"/>
    <n v="-0.11517847013335669"/>
    <n v="-1.1070151210000001"/>
    <n v="0.24842778099999999"/>
    <n v="-1.2221935911333566"/>
    <n v="0.22755064967874489"/>
    <n v="-0.21272559499999999"/>
    <n v="0.28981193900000002"/>
    <n v="-0.90489768950000005"/>
    <n v="-1.0089856832917692"/>
    <n v="0.26924003350541692"/>
    <x v="0"/>
    <n v="2.4652799999999998E-3"/>
    <n v="1.11E-29"/>
    <n v="0.99753471999999999"/>
    <n v="2.25E-18"/>
  </r>
  <r>
    <x v="1"/>
    <s v="Diatraea_Validation._V8-V9"/>
    <x v="344"/>
    <n v="0.20313135700000001"/>
    <n v="-0.57457681100000002"/>
    <n v="-9.2997517450181935E-2"/>
    <n v="-0.37144545400000001"/>
    <n v="0.40819179500000002"/>
    <n v="-0.46444297145018193"/>
    <n v="0.38593235823368671"/>
    <n v="9.9826714999999996E-2"/>
    <n v="-0.80976737799999998"/>
    <n v="-0.11517847013335669"/>
    <n v="-0.70994066300000003"/>
    <n v="0.32961195199999999"/>
    <n v="-0.82511913313335672"/>
    <n v="0.30467809178804955"/>
    <n v="0.15147903600000001"/>
    <n v="0.36890187299999999"/>
    <n v="-0.54069305850000005"/>
    <n v="-0.6447810522917693"/>
    <n v="0.34530522501086813"/>
    <x v="0"/>
    <n v="0.99083675500000001"/>
    <n v="3.26E-26"/>
    <n v="9.1632450000000004E-3"/>
    <n v="2.88E-16"/>
  </r>
  <r>
    <x v="1"/>
    <s v="Diatraea_Validation._V8-V9"/>
    <x v="345"/>
    <n v="-8.4411412000000005E-2"/>
    <n v="-0.57457681100000002"/>
    <n v="-9.2997517450181935E-2"/>
    <n v="-0.65898822400000001"/>
    <n v="0.34096693"/>
    <n v="-0.75198574045018196"/>
    <n v="0.32038877195853438"/>
    <n v="-0.18249241399999999"/>
    <n v="-0.80976737799999998"/>
    <n v="-0.11517847013335669"/>
    <n v="-0.99225979200000003"/>
    <n v="0.27046595800000001"/>
    <n v="-1.1074382621333567"/>
    <n v="0.2483487840910433"/>
    <n v="-0.13345191300000001"/>
    <n v="0.30571644399999998"/>
    <n v="-0.82562400800000002"/>
    <n v="-0.92971200129176934"/>
    <n v="0.28436877802478883"/>
    <x v="0"/>
    <n v="9.5862283000000006E-2"/>
    <n v="5.2799999999999997E-25"/>
    <n v="0.90413771700000001"/>
    <n v="6.81E-17"/>
  </r>
  <r>
    <x v="1"/>
    <s v="Diatraea_Validation._V8-V9"/>
    <x v="346"/>
    <n v="0.17497202000000001"/>
    <n v="-0.57457681100000002"/>
    <n v="-9.2997517450181935E-2"/>
    <n v="-0.39960479100000001"/>
    <n v="0.401407297"/>
    <n v="-0.49260230845018194"/>
    <n v="0.37928072218141856"/>
    <n v="0.13318211999999999"/>
    <n v="-0.80976737799999998"/>
    <n v="-0.11517847013335669"/>
    <n v="-0.67658525800000002"/>
    <n v="0.33702386299999998"/>
    <n v="-0.79176372813335671"/>
    <n v="0.31179008830181082"/>
    <n v="0.15407707000000001"/>
    <n v="0.36921557999999999"/>
    <n v="-0.53809502450000002"/>
    <n v="-0.64218301829176938"/>
    <n v="0.34553540524161469"/>
    <x v="0"/>
    <n v="0.99993551700000005"/>
    <n v="1.6E-27"/>
    <n v="6.4499999999999996E-5"/>
    <n v="2.14E-16"/>
  </r>
  <r>
    <x v="1"/>
    <s v="Diatraea_Validation._V8-V9"/>
    <x v="347"/>
    <n v="-0.206613934"/>
    <n v="-0.57457681100000002"/>
    <n v="-9.2997517450181935E-2"/>
    <n v="-0.78119074499999996"/>
    <n v="0.31406330999999998"/>
    <n v="-0.87418826245018189"/>
    <n v="0.29438355966484703"/>
    <n v="-0.29724774300000001"/>
    <n v="-0.80976737799999998"/>
    <n v="-0.11517847013335669"/>
    <n v="-1.1070151210000001"/>
    <n v="0.24842778099999999"/>
    <n v="-1.2221935911333566"/>
    <n v="0.22755064967874489"/>
    <n v="-0.25193083900000002"/>
    <n v="0.28124554499999999"/>
    <n v="-0.94410293300000003"/>
    <n v="-1.0481909267917693"/>
    <n v="0.26096710467179596"/>
    <x v="0"/>
    <n v="0.93160827800000001"/>
    <n v="1.1100000000000001E-25"/>
    <n v="6.8391722000000002E-2"/>
    <n v="4.3900000000000001E-14"/>
  </r>
  <r>
    <x v="1"/>
    <s v="Diatraea_Validation._V9"/>
    <x v="348"/>
    <n v="0.27233376199999998"/>
    <n v="-0.57457681100000002"/>
    <n v="0"/>
    <n v="-0.30224304899999999"/>
    <n v="0.42500924299999998"/>
    <n v="-0.30224304900000004"/>
    <n v="0.42500924299079179"/>
    <n v="0.38086197999999999"/>
    <n v="-0.80976737799999998"/>
    <n v="0"/>
    <n v="-0.42890539799999999"/>
    <n v="0.39438774300000001"/>
    <n v="-0.42890539799999999"/>
    <n v="0.39438774268735943"/>
    <n v="0.32659787099999998"/>
    <n v="0.409698493"/>
    <n v="-0.36557422350000002"/>
    <n v="-0.36557422350000002"/>
    <n v="0.40969849283907561"/>
    <x v="1"/>
    <m/>
    <m/>
    <m/>
    <m/>
  </r>
  <r>
    <x v="1"/>
    <s v="Diatraea_Validation._V9"/>
    <x v="27"/>
    <n v="-0.18848989999999999"/>
    <n v="-0.57457681100000002"/>
    <n v="0"/>
    <n v="-0.76306671100000001"/>
    <n v="0.31798082100000002"/>
    <n v="-0.76306671100000001"/>
    <n v="0.3179808206764993"/>
    <n v="-0.31617655099999997"/>
    <n v="-0.80976737799999998"/>
    <n v="0"/>
    <n v="-1.125943929"/>
    <n v="0.24491041099999999"/>
    <n v="-1.125943929"/>
    <n v="0.24491041097279831"/>
    <n v="-0.25233322499999999"/>
    <n v="0.28144561600000001"/>
    <n v="-0.94450531999999998"/>
    <n v="-0.94450531999999998"/>
    <n v="0.28144561582464878"/>
    <x v="1"/>
    <n v="1.64E-44"/>
    <n v="1"/>
    <n v="1.06E-47"/>
    <n v="1.25E-71"/>
  </r>
  <r>
    <x v="1"/>
    <s v="Diatraea_Validation._V9"/>
    <x v="2"/>
    <n v="0.60123682099999998"/>
    <n v="-0.57457681100000002"/>
    <n v="0"/>
    <n v="2.6660008999999998E-2"/>
    <n v="0.50666460800000002"/>
    <n v="2.6660009999999956E-2"/>
    <n v="0.50666460776210587"/>
    <n v="1.0562992389999999"/>
    <n v="-0.80976737799999998"/>
    <n v="0"/>
    <n v="0.24653186099999999"/>
    <n v="0.56132269000000001"/>
    <n v="0.24653186099999991"/>
    <n v="0.56132269041711569"/>
    <n v="0.82876802999999999"/>
    <n v="0.53399364900000001"/>
    <n v="0.136595935"/>
    <n v="0.13659593549999993"/>
    <n v="0.53399364908961078"/>
    <x v="1"/>
    <n v="2E-14"/>
    <n v="2.4500000000000002E-35"/>
    <n v="1.3600000000000001E-12"/>
    <n v="1"/>
  </r>
  <r>
    <x v="1"/>
    <s v="Diatraea_Validation._V9"/>
    <x v="349"/>
    <n v="-0.17801647600000001"/>
    <n v="-0.57457681100000002"/>
    <n v="0"/>
    <n v="-0.75259328800000003"/>
    <n v="0.32025649899999997"/>
    <n v="-0.75259328700000006"/>
    <n v="0.32025649932812505"/>
    <n v="-0.31617655099999997"/>
    <n v="-0.80976737799999998"/>
    <n v="0"/>
    <n v="-1.125943929"/>
    <n v="0.24491041099999999"/>
    <n v="-1.125943929"/>
    <n v="0.24491041097279831"/>
    <n v="-0.24709651399999999"/>
    <n v="0.28258345499999998"/>
    <n v="-0.93926860849999994"/>
    <n v="-0.939268608"/>
    <n v="0.28258345515046168"/>
    <x v="0"/>
    <n v="0.99608740399999995"/>
    <n v="3.26E-24"/>
    <n v="3.912596E-3"/>
    <n v="4.6900000000000002E-17"/>
  </r>
  <r>
    <x v="1"/>
    <s v="Diatraea_Validation._V9"/>
    <x v="350"/>
    <n v="-0.53444989200000004"/>
    <n v="-0.57457681100000002"/>
    <n v="0"/>
    <n v="-1.1090267030000001"/>
    <n v="0.24805238600000001"/>
    <n v="-1.1090267030000001"/>
    <n v="0.2480523857314178"/>
    <n v="-0.72911844400000003"/>
    <n v="-0.80976737799999998"/>
    <n v="0"/>
    <n v="-1.538885821"/>
    <n v="0.176697302"/>
    <n v="-1.5388858220000001"/>
    <n v="0.17669730184912533"/>
    <n v="-0.63178416800000003"/>
    <n v="0.21237484400000001"/>
    <n v="-1.3239562620000001"/>
    <n v="-1.3239562625000001"/>
    <n v="0.21237484379027155"/>
    <x v="0"/>
    <n v="0.99995395200000003"/>
    <n v="3.5699999999999998E-28"/>
    <n v="4.6E-5"/>
    <n v="1.7E-16"/>
  </r>
  <r>
    <x v="1"/>
    <s v="Diatraea_Validation._V9"/>
    <x v="351"/>
    <n v="-0.172888611"/>
    <n v="-0.57457681100000002"/>
    <n v="0"/>
    <n v="-0.74746542299999996"/>
    <n v="0.321373823"/>
    <n v="-0.74746542199999999"/>
    <n v="0.32137382331019981"/>
    <n v="-0.35409814299999998"/>
    <n v="-0.80976737799999998"/>
    <n v="0"/>
    <n v="-1.163865521"/>
    <n v="0.23796560999999999"/>
    <n v="-1.163865521"/>
    <n v="0.23796560954107474"/>
    <n v="-0.26349337699999997"/>
    <n v="0.27966971600000001"/>
    <n v="-0.95566547199999996"/>
    <n v="-0.95566547149999992"/>
    <n v="0.27966971642563726"/>
    <x v="0"/>
    <n v="0.99862538899999997"/>
    <n v="8.1600000000000001E-27"/>
    <n v="1.374611E-3"/>
    <n v="3.09E-17"/>
  </r>
  <r>
    <x v="1"/>
    <s v="Diatraea_Validation._V9"/>
    <x v="352"/>
    <n v="-0.130374827"/>
    <n v="-0.57457681100000002"/>
    <n v="0"/>
    <n v="-0.70495163900000002"/>
    <n v="0.33071530199999999"/>
    <n v="-0.70495163800000005"/>
    <n v="0.3307153017101333"/>
    <n v="-0.17019817000000001"/>
    <n v="-0.80976737799999998"/>
    <n v="0"/>
    <n v="-0.97996554800000002"/>
    <n v="0.27289861999999998"/>
    <n v="-0.97996554800000002"/>
    <n v="0.2728986197422118"/>
    <n v="-0.15028649899999999"/>
    <n v="0.30180696099999998"/>
    <n v="-0.84245859349999996"/>
    <n v="-0.84245859300000003"/>
    <n v="0.30180696072617252"/>
    <x v="0"/>
    <n v="0.99901398100000005"/>
    <n v="2.3800000000000001E-25"/>
    <n v="9.8601900000000009E-4"/>
    <n v="6.9200000000000002E-18"/>
  </r>
  <r>
    <x v="1"/>
    <s v="Diatraea_Validation._V9"/>
    <x v="353"/>
    <n v="-0.43698161000000002"/>
    <n v="-0.57457681100000002"/>
    <n v="0"/>
    <n v="-1.011558422"/>
    <n v="0.26667497600000001"/>
    <n v="-1.0115584210000002"/>
    <n v="0.26667497603728468"/>
    <n v="-0.554051136"/>
    <n v="-0.80976737799999998"/>
    <n v="0"/>
    <n v="-1.3638185140000001"/>
    <n v="0.20362039500000001"/>
    <n v="-1.3638185140000001"/>
    <n v="0.20362039456322009"/>
    <n v="-0.49551637300000001"/>
    <n v="0.235147685"/>
    <n v="-1.1876884680000002"/>
    <n v="-1.1876884675000001"/>
    <n v="0.23514768530025237"/>
    <x v="0"/>
    <n v="0.99977888100000001"/>
    <n v="1.4200000000000001E-29"/>
    <n v="2.2111900000000001E-4"/>
    <n v="1.4900000000000001E-16"/>
  </r>
  <r>
    <x v="1"/>
    <s v="Diatraea_Validation._V9"/>
    <x v="354"/>
    <n v="-0.103162051"/>
    <n v="-0.57457681100000002"/>
    <n v="0"/>
    <n v="-0.677738862"/>
    <n v="0.33676615199999999"/>
    <n v="-0.677738862"/>
    <n v="0.33676615186770631"/>
    <n v="1.5743619999999999E-3"/>
    <n v="-0.80976737799999998"/>
    <n v="0"/>
    <n v="-0.80819301600000004"/>
    <n v="0.30827568700000002"/>
    <n v="-0.80819301599999993"/>
    <n v="0.30827568664523297"/>
    <n v="-5.0793843999999998E-2"/>
    <n v="0.32252091900000002"/>
    <n v="-0.74296593900000008"/>
    <n v="-0.74296593899999996"/>
    <n v="0.32252091925646964"/>
    <x v="0"/>
    <n v="0.99996346999999997"/>
    <n v="2.3399999999999999E-30"/>
    <n v="3.65E-5"/>
    <n v="4.1499999999999999E-16"/>
  </r>
  <r>
    <x v="1"/>
    <s v="Diatraea_Validation._V9"/>
    <x v="355"/>
    <n v="-0.196236572"/>
    <n v="-0.57457681100000002"/>
    <n v="0"/>
    <n v="-0.77081338300000002"/>
    <n v="0.31630318099999999"/>
    <n v="-0.77081338300000002"/>
    <n v="0.31630318145726632"/>
    <n v="-0.20589854099999999"/>
    <n v="-0.80976737799999998"/>
    <n v="0"/>
    <n v="-1.0156659189999999"/>
    <n v="0.26587248600000002"/>
    <n v="-1.0156659189999999"/>
    <n v="0.26587248627663107"/>
    <n v="-0.20106755600000001"/>
    <n v="0.29108783399999999"/>
    <n v="-0.89323965100000002"/>
    <n v="-0.89323965100000002"/>
    <n v="0.2910878338669487"/>
    <x v="0"/>
    <n v="0.50080368799999997"/>
    <n v="2.8099999999999998E-23"/>
    <n v="0.49919631199999998"/>
    <n v="3.25E-19"/>
  </r>
  <r>
    <x v="1"/>
    <s v="Diatraea_Validation._V9"/>
    <x v="356"/>
    <n v="0.26092612500000001"/>
    <n v="-0.57457681100000002"/>
    <n v="0"/>
    <n v="-0.31365068699999998"/>
    <n v="0.42222389900000001"/>
    <n v="-0.31365068600000001"/>
    <n v="0.42222389886034839"/>
    <n v="0.25836736199999999"/>
    <n v="-0.80976737799999998"/>
    <n v="0"/>
    <n v="-0.55140001500000002"/>
    <n v="0.36553965599999999"/>
    <n v="-0.55140001599999999"/>
    <n v="0.36553965561568436"/>
    <n v="0.25964674300000001"/>
    <n v="0.39388177699999999"/>
    <n v="-0.432525351"/>
    <n v="-0.432525351"/>
    <n v="0.39388177723801637"/>
    <x v="0"/>
    <n v="0.99987416100000004"/>
    <n v="5.4000000000000001E-24"/>
    <n v="1.2583900000000001E-4"/>
    <n v="1.4300000000000001E-18"/>
  </r>
  <r>
    <x v="1"/>
    <s v="Diatraea_Validation._V9"/>
    <x v="357"/>
    <n v="0.104620937"/>
    <n v="-0.57457681100000002"/>
    <n v="0"/>
    <n v="-0.469955874"/>
    <n v="0.38462668799999999"/>
    <n v="-0.46995587400000005"/>
    <n v="0.38462668769440705"/>
    <n v="0.35052374400000003"/>
    <n v="-0.80976737799999998"/>
    <n v="0"/>
    <n v="-0.45924363400000001"/>
    <n v="0.38716527000000001"/>
    <n v="-0.45924363399999996"/>
    <n v="0.3871652702303427"/>
    <n v="0.22757234000000001"/>
    <n v="0.385895979"/>
    <n v="-0.46459975399999998"/>
    <n v="-0.46459975399999998"/>
    <n v="0.38589597896237487"/>
    <x v="0"/>
    <n v="0.99381326800000003"/>
    <n v="6.0400000000000002E-30"/>
    <n v="6.1867320000000003E-3"/>
    <n v="4.8299999999999997E-17"/>
  </r>
  <r>
    <x v="1"/>
    <s v="Diatraea_Validation._V9"/>
    <x v="358"/>
    <n v="0.31295519300000002"/>
    <n v="-0.57457681100000002"/>
    <n v="0"/>
    <n v="-0.261621618"/>
    <n v="0.43496511999999998"/>
    <n v="-0.261621618"/>
    <n v="0.4349651204395561"/>
    <n v="0.16419451900000001"/>
    <n v="-0.80976737799999998"/>
    <n v="0"/>
    <n v="-0.64557285900000005"/>
    <n v="0.34398787600000003"/>
    <n v="-0.64557285899999994"/>
    <n v="0.34398787575501438"/>
    <n v="0.238574856"/>
    <n v="0.389476498"/>
    <n v="-0.4535972385"/>
    <n v="-0.4535972385"/>
    <n v="0.38947649809728524"/>
    <x v="0"/>
    <n v="0.96452675499999996"/>
    <n v="4.6000000000000002E-26"/>
    <n v="3.5473245E-2"/>
    <n v="5.4499999999999998E-16"/>
  </r>
  <r>
    <x v="1"/>
    <s v="Diatraea_Validation._V9"/>
    <x v="359"/>
    <n v="6.3981472999999997E-2"/>
    <n v="-0.57457681100000002"/>
    <n v="0"/>
    <n v="-0.51059533899999998"/>
    <n v="0.37505397499999998"/>
    <n v="-0.51059533800000001"/>
    <n v="0.37505397477986852"/>
    <n v="0.28929042999999999"/>
    <n v="-0.80976737799999998"/>
    <n v="0"/>
    <n v="-0.52047694700000002"/>
    <n v="0.37274071399999997"/>
    <n v="-0.52047694799999999"/>
    <n v="0.37274071405761455"/>
    <n v="0.17663595200000001"/>
    <n v="0.37389734400000002"/>
    <n v="-0.51553614300000006"/>
    <n v="-0.51553614300000006"/>
    <n v="0.37389734441874156"/>
    <x v="0"/>
    <n v="6.0121439999999996E-3"/>
    <n v="1.14E-30"/>
    <n v="0.99398785599999995"/>
    <n v="1.4399999999999999E-19"/>
  </r>
  <r>
    <x v="1"/>
    <s v="Diatraea_Validation._V9"/>
    <x v="360"/>
    <n v="0.38132946699999998"/>
    <n v="-0.57457681100000002"/>
    <n v="0"/>
    <n v="-0.19324734399999999"/>
    <n v="0.45183795300000001"/>
    <n v="-0.19324734400000004"/>
    <n v="0.45183795323532194"/>
    <n v="0.44104852100000003"/>
    <n v="-0.80976737799999998"/>
    <n v="0"/>
    <n v="-0.36871885700000001"/>
    <n v="0.40885062700000002"/>
    <n v="-0.36871885699999996"/>
    <n v="0.40885062711781855"/>
    <n v="0.41118899399999997"/>
    <n v="0.43034429000000002"/>
    <n v="-0.28098310049999997"/>
    <n v="-0.28098310049999997"/>
    <n v="0.43034429017657028"/>
    <x v="0"/>
    <n v="0.99473128300000002"/>
    <n v="2.8899999999999998E-31"/>
    <n v="5.268717E-3"/>
    <n v="2.61E-14"/>
  </r>
  <r>
    <x v="1"/>
    <s v="Diatraea_Validation._V9"/>
    <x v="361"/>
    <n v="-5.7459815999999997E-2"/>
    <n v="-0.57457681100000002"/>
    <n v="0"/>
    <n v="-0.63203662699999996"/>
    <n v="0.347048882"/>
    <n v="-0.63203662699999996"/>
    <n v="0.34704888235157771"/>
    <n v="-0.20589854099999999"/>
    <n v="-0.80976737799999998"/>
    <n v="0"/>
    <n v="-1.0156659189999999"/>
    <n v="0.26587248600000002"/>
    <n v="-1.0156659189999999"/>
    <n v="0.26587248627663107"/>
    <n v="-0.13167917800000001"/>
    <n v="0.30646068399999998"/>
    <n v="-0.82385127299999994"/>
    <n v="-0.82385127299999994"/>
    <n v="0.30646068431410439"/>
    <x v="0"/>
    <n v="4.846815E-3"/>
    <n v="4.8399999999999998E-29"/>
    <n v="0.99515318500000005"/>
    <n v="4.57E-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831D74-69BE-4AED-9676-747865B0F7E2}" name="TablaDinámica3" cacheId="29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gridDropZones="1" multipleFieldFilters="0">
  <location ref="A3:E354" firstHeaderRow="1" firstDataRow="2" firstDataCol="2" rowPageCount="1" colPageCount="1"/>
  <pivotFields count="27">
    <pivotField axis="axisRow" compact="0" outline="0" subtotalTop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sortType="ascending" defaultSubtotal="0">
      <items count="362">
        <item x="291"/>
        <item x="292"/>
        <item x="306"/>
        <item x="277"/>
        <item x="278"/>
        <item x="293"/>
        <item x="307"/>
        <item x="308"/>
        <item x="348"/>
        <item x="334"/>
        <item x="248"/>
        <item x="263"/>
        <item x="131"/>
        <item x="103"/>
        <item x="61"/>
        <item x="117"/>
        <item x="157"/>
        <item x="182"/>
        <item x="19"/>
        <item x="132"/>
        <item x="90"/>
        <item x="158"/>
        <item x="143"/>
        <item x="47"/>
        <item x="171"/>
        <item x="48"/>
        <item x="206"/>
        <item x="49"/>
        <item x="172"/>
        <item x="159"/>
        <item x="50"/>
        <item x="75"/>
        <item x="133"/>
        <item x="5"/>
        <item x="76"/>
        <item x="136"/>
        <item x="33"/>
        <item x="173"/>
        <item x="51"/>
        <item x="144"/>
        <item x="183"/>
        <item x="104"/>
        <item x="52"/>
        <item x="145"/>
        <item x="6"/>
        <item x="91"/>
        <item x="137"/>
        <item x="92"/>
        <item x="77"/>
        <item x="93"/>
        <item x="196"/>
        <item x="105"/>
        <item x="184"/>
        <item x="106"/>
        <item x="138"/>
        <item x="207"/>
        <item x="208"/>
        <item x="118"/>
        <item x="197"/>
        <item x="160"/>
        <item x="20"/>
        <item x="119"/>
        <item x="78"/>
        <item x="198"/>
        <item x="79"/>
        <item x="80"/>
        <item x="209"/>
        <item x="53"/>
        <item x="62"/>
        <item x="161"/>
        <item x="54"/>
        <item x="185"/>
        <item x="162"/>
        <item x="186"/>
        <item x="163"/>
        <item x="34"/>
        <item x="7"/>
        <item x="107"/>
        <item x="81"/>
        <item x="187"/>
        <item x="35"/>
        <item x="82"/>
        <item x="199"/>
        <item x="108"/>
        <item x="21"/>
        <item x="164"/>
        <item x="55"/>
        <item x="109"/>
        <item x="8"/>
        <item x="9"/>
        <item x="120"/>
        <item x="121"/>
        <item x="22"/>
        <item x="210"/>
        <item x="36"/>
        <item x="23"/>
        <item x="37"/>
        <item x="38"/>
        <item x="0"/>
        <item x="174"/>
        <item x="10"/>
        <item x="165"/>
        <item x="24"/>
        <item x="211"/>
        <item x="146"/>
        <item x="83"/>
        <item x="25"/>
        <item x="212"/>
        <item x="94"/>
        <item x="166"/>
        <item x="175"/>
        <item x="63"/>
        <item x="95"/>
        <item x="64"/>
        <item x="39"/>
        <item x="122"/>
        <item x="123"/>
        <item x="65"/>
        <item x="56"/>
        <item x="66"/>
        <item x="167"/>
        <item x="67"/>
        <item x="147"/>
        <item x="134"/>
        <item x="96"/>
        <item x="97"/>
        <item x="124"/>
        <item x="88"/>
        <item x="68"/>
        <item x="84"/>
        <item x="176"/>
        <item x="11"/>
        <item x="200"/>
        <item x="12"/>
        <item x="125"/>
        <item x="188"/>
        <item x="189"/>
        <item x="190"/>
        <item x="40"/>
        <item x="177"/>
        <item x="26"/>
        <item x="98"/>
        <item x="85"/>
        <item x="139"/>
        <item x="41"/>
        <item x="148"/>
        <item x="13"/>
        <item x="140"/>
        <item x="191"/>
        <item x="178"/>
        <item x="110"/>
        <item x="14"/>
        <item x="15"/>
        <item x="192"/>
        <item x="1"/>
        <item x="27"/>
        <item x="86"/>
        <item x="16"/>
        <item x="141"/>
        <item x="179"/>
        <item x="126"/>
        <item x="213"/>
        <item x="214"/>
        <item x="193"/>
        <item x="111"/>
        <item x="168"/>
        <item x="112"/>
        <item x="194"/>
        <item x="127"/>
        <item x="99"/>
        <item x="100"/>
        <item x="57"/>
        <item x="215"/>
        <item x="180"/>
        <item x="128"/>
        <item x="201"/>
        <item x="149"/>
        <item x="69"/>
        <item x="169"/>
        <item x="58"/>
        <item x="150"/>
        <item x="216"/>
        <item x="217"/>
        <item x="151"/>
        <item x="181"/>
        <item x="42"/>
        <item x="2"/>
        <item x="3"/>
        <item x="113"/>
        <item x="170"/>
        <item x="59"/>
        <item x="218"/>
        <item x="28"/>
        <item x="202"/>
        <item x="152"/>
        <item x="29"/>
        <item x="153"/>
        <item x="154"/>
        <item x="87"/>
        <item x="114"/>
        <item x="155"/>
        <item x="60"/>
        <item x="219"/>
        <item x="203"/>
        <item x="70"/>
        <item x="195"/>
        <item x="4"/>
        <item x="156"/>
        <item x="101"/>
        <item x="43"/>
        <item x="129"/>
        <item x="130"/>
        <item x="71"/>
        <item x="44"/>
        <item x="204"/>
        <item x="205"/>
        <item x="30"/>
        <item x="135"/>
        <item x="17"/>
        <item x="45"/>
        <item x="102"/>
        <item x="46"/>
        <item x="31"/>
        <item x="18"/>
        <item x="115"/>
        <item x="89"/>
        <item x="142"/>
        <item x="116"/>
        <item x="72"/>
        <item x="73"/>
        <item x="32"/>
        <item x="74"/>
        <item x="294"/>
        <item x="249"/>
        <item x="320"/>
        <item x="234"/>
        <item x="220"/>
        <item x="279"/>
        <item x="235"/>
        <item x="335"/>
        <item x="250"/>
        <item x="221"/>
        <item x="222"/>
        <item x="223"/>
        <item x="251"/>
        <item x="349"/>
        <item x="236"/>
        <item x="336"/>
        <item x="237"/>
        <item x="264"/>
        <item x="350"/>
        <item x="321"/>
        <item x="252"/>
        <item x="295"/>
        <item x="224"/>
        <item x="351"/>
        <item x="352"/>
        <item x="353"/>
        <item x="322"/>
        <item x="280"/>
        <item x="281"/>
        <item x="354"/>
        <item x="265"/>
        <item x="337"/>
        <item x="266"/>
        <item x="282"/>
        <item x="338"/>
        <item x="253"/>
        <item x="309"/>
        <item x="339"/>
        <item x="225"/>
        <item x="226"/>
        <item x="254"/>
        <item x="323"/>
        <item x="340"/>
        <item x="310"/>
        <item x="311"/>
        <item x="312"/>
        <item x="324"/>
        <item x="267"/>
        <item x="325"/>
        <item x="238"/>
        <item x="255"/>
        <item x="296"/>
        <item x="297"/>
        <item x="298"/>
        <item x="299"/>
        <item x="239"/>
        <item x="283"/>
        <item x="313"/>
        <item x="284"/>
        <item x="314"/>
        <item x="285"/>
        <item x="315"/>
        <item x="240"/>
        <item x="241"/>
        <item x="242"/>
        <item x="256"/>
        <item x="243"/>
        <item x="257"/>
        <item x="268"/>
        <item x="269"/>
        <item x="341"/>
        <item x="326"/>
        <item x="327"/>
        <item x="328"/>
        <item x="355"/>
        <item x="356"/>
        <item x="357"/>
        <item x="358"/>
        <item x="329"/>
        <item x="359"/>
        <item x="330"/>
        <item x="342"/>
        <item x="343"/>
        <item x="360"/>
        <item x="316"/>
        <item x="258"/>
        <item x="344"/>
        <item x="345"/>
        <item x="300"/>
        <item x="361"/>
        <item x="270"/>
        <item x="346"/>
        <item x="301"/>
        <item x="331"/>
        <item x="286"/>
        <item x="287"/>
        <item x="332"/>
        <item x="271"/>
        <item x="244"/>
        <item x="245"/>
        <item x="227"/>
        <item x="288"/>
        <item x="246"/>
        <item x="259"/>
        <item x="260"/>
        <item x="302"/>
        <item x="289"/>
        <item x="261"/>
        <item x="262"/>
        <item x="272"/>
        <item x="273"/>
        <item x="228"/>
        <item x="303"/>
        <item x="317"/>
        <item x="229"/>
        <item x="274"/>
        <item x="275"/>
        <item x="247"/>
        <item x="304"/>
        <item x="276"/>
        <item x="347"/>
        <item x="230"/>
        <item x="231"/>
        <item x="333"/>
        <item x="305"/>
        <item x="318"/>
        <item x="232"/>
        <item x="290"/>
        <item x="319"/>
        <item x="233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2"/>
  </rowFields>
  <rowItems count="350">
    <i>
      <x/>
      <x v="125"/>
    </i>
    <i r="1">
      <x v="80"/>
    </i>
    <i r="1">
      <x v="123"/>
    </i>
    <i r="1">
      <x v="49"/>
    </i>
    <i r="1">
      <x v="17"/>
    </i>
    <i r="1">
      <x v="144"/>
    </i>
    <i r="1">
      <x v="155"/>
    </i>
    <i r="1">
      <x v="40"/>
    </i>
    <i r="1">
      <x v="141"/>
    </i>
    <i r="1">
      <x v="56"/>
    </i>
    <i r="1">
      <x v="75"/>
    </i>
    <i r="1">
      <x v="114"/>
    </i>
    <i r="1">
      <x v="135"/>
    </i>
    <i r="1">
      <x v="36"/>
    </i>
    <i r="1">
      <x v="205"/>
    </i>
    <i r="1">
      <x v="97"/>
    </i>
    <i r="1">
      <x v="129"/>
    </i>
    <i r="1">
      <x v="209"/>
    </i>
    <i r="1">
      <x v="26"/>
    </i>
    <i r="1">
      <x v="219"/>
    </i>
    <i r="1">
      <x v="71"/>
    </i>
    <i r="1">
      <x v="136"/>
    </i>
    <i r="1">
      <x v="73"/>
    </i>
    <i r="1">
      <x v="78"/>
    </i>
    <i r="1">
      <x v="213"/>
    </i>
    <i r="1">
      <x v="33"/>
    </i>
    <i r="1">
      <x v="223"/>
    </i>
    <i r="1">
      <x v="12"/>
    </i>
    <i r="1">
      <x v="185"/>
    </i>
    <i r="1">
      <x v="221"/>
    </i>
    <i r="1">
      <x v="94"/>
    </i>
    <i r="1">
      <x v="112"/>
    </i>
    <i r="1">
      <x v="20"/>
    </i>
    <i r="1">
      <x v="65"/>
    </i>
    <i r="1">
      <x v="167"/>
    </i>
    <i r="1">
      <x v="18"/>
    </i>
    <i r="1">
      <x v="19"/>
    </i>
    <i r="1">
      <x v="151"/>
    </i>
    <i r="1">
      <x v="32"/>
    </i>
    <i r="1">
      <x v="76"/>
    </i>
    <i r="1">
      <x v="137"/>
    </i>
    <i r="1">
      <x v="45"/>
    </i>
    <i r="1">
      <x v="163"/>
    </i>
    <i r="1">
      <x v="25"/>
    </i>
    <i r="1">
      <x v="153"/>
    </i>
    <i r="1">
      <x v="148"/>
    </i>
    <i r="1">
      <x v="133"/>
    </i>
    <i r="1">
      <x v="58"/>
    </i>
    <i r="1">
      <x v="217"/>
    </i>
    <i r="1">
      <x v="86"/>
    </i>
    <i r="1">
      <x v="188"/>
    </i>
    <i r="1">
      <x v="228"/>
    </i>
    <i r="1">
      <x v="51"/>
    </i>
    <i r="1">
      <x v="23"/>
    </i>
    <i r="1">
      <x v="212"/>
    </i>
    <i r="1">
      <x v="193"/>
    </i>
    <i r="1">
      <x v="145"/>
    </i>
    <i r="1">
      <x v="77"/>
    </i>
    <i r="1">
      <x v="110"/>
    </i>
    <i r="1">
      <x v="222"/>
    </i>
    <i r="1">
      <x v="107"/>
    </i>
    <i r="1">
      <x v="52"/>
    </i>
    <i r="1">
      <x v="229"/>
    </i>
    <i r="1">
      <x v="55"/>
    </i>
    <i r="1">
      <x v="21"/>
    </i>
    <i r="1">
      <x v="100"/>
    </i>
    <i r="1">
      <x v="66"/>
    </i>
    <i r="1">
      <x v="44"/>
    </i>
    <i r="1">
      <x v="79"/>
    </i>
    <i r="1">
      <x v="88"/>
    </i>
    <i r="1">
      <x v="27"/>
    </i>
    <i r="1">
      <x v="199"/>
    </i>
    <i r="1">
      <x v="84"/>
    </i>
    <i r="1">
      <x v="62"/>
    </i>
    <i r="1">
      <x v="121"/>
    </i>
    <i r="1">
      <x v="118"/>
    </i>
    <i r="1">
      <x v="182"/>
    </i>
    <i r="1">
      <x v="39"/>
    </i>
    <i r="1">
      <x v="164"/>
    </i>
    <i r="1">
      <x v="90"/>
    </i>
    <i r="1">
      <x v="48"/>
    </i>
    <i r="1">
      <x v="142"/>
    </i>
    <i r="1">
      <x v="190"/>
    </i>
    <i r="1">
      <x v="230"/>
    </i>
    <i r="1">
      <x v="67"/>
    </i>
    <i r="1">
      <x v="30"/>
    </i>
    <i r="1">
      <x v="225"/>
    </i>
    <i r="1">
      <x v="152"/>
    </i>
    <i r="1">
      <x v="37"/>
    </i>
    <i r="1">
      <x v="13"/>
    </i>
    <i r="1">
      <x v="169"/>
    </i>
    <i r="1">
      <x v="29"/>
    </i>
    <i r="1">
      <x v="197"/>
    </i>
    <i r="1">
      <x v="103"/>
    </i>
    <i r="1">
      <x v="208"/>
    </i>
    <i r="1">
      <x v="138"/>
    </i>
    <i r="1">
      <x v="93"/>
    </i>
    <i r="1">
      <x v="139"/>
    </i>
    <i r="1">
      <x v="108"/>
    </i>
    <i r="1">
      <x v="63"/>
    </i>
    <i r="1">
      <x v="50"/>
    </i>
    <i r="1">
      <x v="181"/>
    </i>
    <i r="1">
      <x v="150"/>
    </i>
    <i r="1">
      <x v="218"/>
    </i>
    <i r="1">
      <x v="120"/>
    </i>
    <i r="1">
      <x v="85"/>
    </i>
    <i r="1">
      <x v="96"/>
    </i>
    <i r="1">
      <x v="41"/>
    </i>
    <i r="1">
      <x v="124"/>
    </i>
    <i r="1">
      <x v="70"/>
    </i>
    <i r="1">
      <x v="113"/>
    </i>
    <i r="1">
      <x v="127"/>
    </i>
    <i r="1">
      <x v="227"/>
    </i>
    <i r="1">
      <x v="14"/>
    </i>
    <i r="1">
      <x v="89"/>
    </i>
    <i r="1">
      <x v="173"/>
    </i>
    <i r="1">
      <x v="162"/>
    </i>
    <i r="1">
      <x v="200"/>
    </i>
    <i r="1">
      <x v="180"/>
    </i>
    <i r="1">
      <x v="143"/>
    </i>
    <i r="1">
      <x v="207"/>
    </i>
    <i r="1">
      <x v="35"/>
    </i>
    <i r="1">
      <x v="224"/>
    </i>
    <i r="1">
      <x v="115"/>
    </i>
    <i r="1">
      <x v="34"/>
    </i>
    <i r="1">
      <x v="140"/>
    </i>
    <i r="1">
      <x v="204"/>
    </i>
    <i r="1">
      <x v="87"/>
    </i>
    <i r="1">
      <x v="102"/>
    </i>
    <i r="1">
      <x v="128"/>
    </i>
    <i r="1">
      <x v="81"/>
    </i>
    <i r="1">
      <x v="198"/>
    </i>
    <i r="1">
      <x v="179"/>
    </i>
    <i r="1">
      <x v="156"/>
    </i>
    <i r="1">
      <x v="105"/>
    </i>
    <i r="1">
      <x v="157"/>
    </i>
    <i r="1">
      <x v="122"/>
    </i>
    <i r="1">
      <x v="28"/>
    </i>
    <i r="1">
      <x v="95"/>
    </i>
    <i r="1">
      <x v="116"/>
    </i>
    <i r="1">
      <x v="166"/>
    </i>
    <i r="1">
      <x v="59"/>
    </i>
    <i r="1">
      <x v="82"/>
    </i>
    <i r="1">
      <x v="175"/>
    </i>
    <i r="1">
      <x v="15"/>
    </i>
    <i r="1">
      <x v="220"/>
    </i>
    <i r="1">
      <x v="177"/>
    </i>
    <i r="1">
      <x v="117"/>
    </i>
    <i r="1">
      <x v="172"/>
    </i>
    <i r="1">
      <x v="196"/>
    </i>
    <i r="1">
      <x v="61"/>
    </i>
    <i r="1">
      <x v="191"/>
    </i>
    <i r="1">
      <x v="132"/>
    </i>
    <i r="1">
      <x v="22"/>
    </i>
    <i r="1">
      <x v="178"/>
    </i>
    <i r="1">
      <x v="91"/>
    </i>
    <i r="1">
      <x v="16"/>
    </i>
    <i r="1">
      <x v="31"/>
    </i>
    <i r="1">
      <x v="131"/>
    </i>
    <i r="1">
      <x v="101"/>
    </i>
    <i r="1">
      <x v="202"/>
    </i>
    <i r="1">
      <x v="57"/>
    </i>
    <i r="1">
      <x v="60"/>
    </i>
    <i r="1">
      <x v="170"/>
    </i>
    <i r="1">
      <x v="38"/>
    </i>
    <i r="1">
      <x v="215"/>
    </i>
    <i r="1">
      <x v="216"/>
    </i>
    <i r="1">
      <x v="194"/>
    </i>
    <i r="1">
      <x v="195"/>
    </i>
    <i r="1">
      <x v="149"/>
    </i>
    <i r="1">
      <x v="53"/>
    </i>
    <i r="1">
      <x v="42"/>
    </i>
    <i r="1">
      <x v="126"/>
    </i>
    <i r="1">
      <x v="171"/>
    </i>
    <i r="1">
      <x v="119"/>
    </i>
    <i r="1">
      <x v="214"/>
    </i>
    <i r="1">
      <x v="68"/>
    </i>
    <i r="1">
      <x v="92"/>
    </i>
    <i r="1">
      <x v="161"/>
    </i>
    <i r="1">
      <x v="203"/>
    </i>
    <i r="1">
      <x v="189"/>
    </i>
    <i r="1">
      <x v="106"/>
    </i>
    <i r="1">
      <x v="64"/>
    </i>
    <i r="1">
      <x v="69"/>
    </i>
    <i r="1">
      <x v="74"/>
    </i>
    <i r="1">
      <x v="99"/>
    </i>
    <i r="1">
      <x v="130"/>
    </i>
    <i r="1">
      <x v="183"/>
    </i>
    <i r="1">
      <x v="146"/>
    </i>
    <i r="1">
      <x v="83"/>
    </i>
    <i r="1">
      <x v="158"/>
    </i>
    <i r="1">
      <x v="109"/>
    </i>
    <i r="1">
      <x v="176"/>
    </i>
    <i r="1">
      <x v="47"/>
    </i>
    <i r="1">
      <x v="231"/>
    </i>
    <i r="1">
      <x v="168"/>
    </i>
    <i r="1">
      <x v="174"/>
    </i>
    <i r="1">
      <x v="104"/>
    </i>
    <i r="1">
      <x v="226"/>
    </i>
    <i r="1">
      <x v="160"/>
    </i>
    <i r="1">
      <x v="54"/>
    </i>
    <i r="1">
      <x v="165"/>
    </i>
    <i r="1">
      <x v="72"/>
    </i>
    <i r="1">
      <x v="192"/>
    </i>
    <i r="1">
      <x v="147"/>
    </i>
    <i r="1">
      <x v="184"/>
    </i>
    <i r="1">
      <x v="201"/>
    </i>
    <i r="1">
      <x v="46"/>
    </i>
    <i r="1">
      <x v="43"/>
    </i>
    <i r="1">
      <x v="159"/>
    </i>
    <i r="1">
      <x v="187"/>
    </i>
    <i r="1">
      <x v="211"/>
    </i>
    <i r="1">
      <x v="24"/>
    </i>
    <i r="1">
      <x v="98"/>
    </i>
    <i r="1">
      <x v="210"/>
    </i>
    <i r="1">
      <x v="134"/>
    </i>
    <i r="1">
      <x v="154"/>
    </i>
    <i r="1">
      <x v="111"/>
    </i>
    <i r="1">
      <x v="206"/>
    </i>
    <i r="1">
      <x v="186"/>
    </i>
    <i>
      <x v="1"/>
      <x v="242"/>
    </i>
    <i r="1">
      <x v="354"/>
    </i>
    <i r="1">
      <x v="332"/>
    </i>
    <i r="1">
      <x v="342"/>
    </i>
    <i r="1">
      <x v="270"/>
    </i>
    <i r="1">
      <x v="254"/>
    </i>
    <i r="1">
      <x v="353"/>
    </i>
    <i r="1">
      <x v="279"/>
    </i>
    <i r="1">
      <x v="232"/>
    </i>
    <i r="1">
      <x v="358"/>
    </i>
    <i r="1">
      <x v="322"/>
    </i>
    <i r="1">
      <x v="361"/>
    </i>
    <i r="1">
      <x v="262"/>
    </i>
    <i r="1">
      <x v="343"/>
    </i>
    <i r="1">
      <x v="243"/>
    </i>
    <i r="1">
      <x v="347"/>
    </i>
    <i r="1">
      <x v="268"/>
    </i>
    <i r="1">
      <x v="249"/>
    </i>
    <i r="1">
      <x v="289"/>
    </i>
    <i r="1">
      <x v="259"/>
    </i>
    <i r="1">
      <x v="316"/>
    </i>
    <i r="1">
      <x v="336"/>
    </i>
    <i r="1">
      <x v="346"/>
    </i>
    <i r="1">
      <x v="301"/>
    </i>
    <i r="1">
      <x v="357"/>
    </i>
    <i r="1">
      <x v="339"/>
    </i>
    <i r="1">
      <x v="280"/>
    </i>
    <i r="1">
      <x v="250"/>
    </i>
    <i r="1">
      <x v="290"/>
    </i>
    <i r="1">
      <x v="236"/>
    </i>
    <i r="1">
      <x v="276"/>
    </i>
    <i r="1">
      <x v="351"/>
    </i>
    <i r="1">
      <x v="257"/>
    </i>
    <i r="1">
      <x v="293"/>
    </i>
    <i r="1">
      <x v="239"/>
    </i>
    <i r="1">
      <x v="275"/>
    </i>
    <i r="1">
      <x v="348"/>
    </i>
    <i r="1">
      <x v="300"/>
    </i>
    <i r="1">
      <x v="291"/>
    </i>
    <i r="1">
      <x v="341"/>
    </i>
    <i r="1">
      <x v="263"/>
    </i>
    <i r="1">
      <x v="297"/>
    </i>
    <i r="1">
      <x v="352"/>
    </i>
    <i r="1">
      <x v="360"/>
    </i>
    <i r="1">
      <x v="264"/>
    </i>
    <i r="1">
      <x v="248"/>
    </i>
    <i r="1">
      <x v="359"/>
    </i>
    <i r="1">
      <x v="274"/>
    </i>
    <i r="1">
      <x v="314"/>
    </i>
    <i r="1">
      <x v="299"/>
    </i>
    <i r="1">
      <x v="355"/>
    </i>
    <i r="1">
      <x v="277"/>
    </i>
    <i r="1">
      <x v="287"/>
    </i>
    <i r="1">
      <x v="281"/>
    </i>
    <i r="1">
      <x v="310"/>
    </i>
    <i r="1">
      <x v="260"/>
    </i>
    <i r="1">
      <x v="241"/>
    </i>
    <i r="1">
      <x v="345"/>
    </i>
    <i r="1">
      <x v="255"/>
    </i>
    <i r="1">
      <x v="350"/>
    </i>
    <i r="1">
      <x v="245"/>
    </i>
    <i r="1">
      <x v="319"/>
    </i>
    <i r="1">
      <x v="329"/>
    </i>
    <i r="1">
      <x v="327"/>
    </i>
    <i r="1">
      <x v="271"/>
    </i>
    <i r="1">
      <x v="338"/>
    </i>
    <i r="1">
      <x v="306"/>
    </i>
    <i r="1">
      <x v="328"/>
    </i>
    <i r="1">
      <x v="349"/>
    </i>
    <i r="1">
      <x v="252"/>
    </i>
    <i r="1">
      <x v="267"/>
    </i>
    <i r="1">
      <x v="298"/>
    </i>
    <i r="1">
      <x v="312"/>
    </i>
    <i r="1">
      <x v="317"/>
    </i>
    <i r="1">
      <x v="256"/>
    </i>
    <i r="1">
      <x v="238"/>
    </i>
    <i r="1">
      <x v="234"/>
    </i>
    <i r="1">
      <x v="272"/>
    </i>
    <i r="1">
      <x v="321"/>
    </i>
    <i r="1">
      <x v="233"/>
    </i>
    <i r="1">
      <x v="295"/>
    </i>
    <i r="1">
      <x v="244"/>
    </i>
    <i r="1">
      <x v="320"/>
    </i>
    <i r="1">
      <x v="344"/>
    </i>
    <i r="1">
      <x v="282"/>
    </i>
    <i r="1">
      <x v="302"/>
    </i>
    <i r="1">
      <x v="261"/>
    </i>
    <i r="1">
      <x v="333"/>
    </i>
    <i r="1">
      <x v="294"/>
    </i>
    <i r="1">
      <x v="285"/>
    </i>
    <i r="1">
      <x v="296"/>
    </i>
    <i r="1">
      <x v="283"/>
    </i>
    <i r="1">
      <x v="303"/>
    </i>
    <i r="1">
      <x v="340"/>
    </i>
    <i r="1">
      <x v="237"/>
    </i>
    <i r="1">
      <x v="240"/>
    </i>
    <i r="1">
      <x v="235"/>
    </i>
    <i r="1">
      <x v="278"/>
    </i>
    <i r="1">
      <x v="251"/>
    </i>
    <i r="1">
      <x v="337"/>
    </i>
    <i r="1">
      <x v="324"/>
    </i>
    <i r="1">
      <x v="325"/>
    </i>
    <i r="1">
      <x v="313"/>
    </i>
    <i r="1">
      <x v="318"/>
    </i>
    <i r="1">
      <x v="323"/>
    </i>
    <i r="1">
      <x v="246"/>
    </i>
    <i r="1">
      <x v="334"/>
    </i>
    <i r="1">
      <x v="331"/>
    </i>
    <i r="1">
      <x v="304"/>
    </i>
    <i r="1">
      <x v="286"/>
    </i>
    <i r="1">
      <x v="356"/>
    </i>
    <i r="1">
      <x v="326"/>
    </i>
    <i r="1">
      <x v="273"/>
    </i>
    <i r="1">
      <x v="266"/>
    </i>
    <i r="1">
      <x v="311"/>
    </i>
    <i r="1">
      <x v="269"/>
    </i>
    <i r="1">
      <x v="265"/>
    </i>
    <i r="1">
      <x v="308"/>
    </i>
    <i r="1">
      <x v="309"/>
    </i>
    <i r="1">
      <x v="335"/>
    </i>
    <i r="1">
      <x v="330"/>
    </i>
    <i r="1">
      <x v="253"/>
    </i>
    <i r="1">
      <x v="307"/>
    </i>
    <i r="1">
      <x v="258"/>
    </i>
    <i r="1">
      <x v="247"/>
    </i>
    <i r="1">
      <x v="305"/>
    </i>
    <i r="1">
      <x v="288"/>
    </i>
    <i r="1">
      <x v="292"/>
    </i>
    <i r="1">
      <x v="284"/>
    </i>
    <i r="1">
      <x v="315"/>
    </i>
  </rowItems>
  <colFields count="1">
    <field x="-2"/>
  </colFields>
  <colItems count="3">
    <i>
      <x/>
    </i>
    <i i="1">
      <x v="1"/>
    </i>
    <i i="2">
      <x v="2"/>
    </i>
  </colItems>
  <pageFields count="1">
    <pageField fld="22" item="0" hier="-1"/>
  </pageFields>
  <dataFields count="3">
    <dataField name="Promedio de Feno_BI_ilink" fld="9" subtotal="average" baseField="2" baseItem="12" numFmtId="10"/>
    <dataField name="Promedio de Feno_Sind_ilink" fld="16" subtotal="average" baseField="2" baseItem="12" numFmtId="10"/>
    <dataField name="Promedio de DSI_Feno_ilink" fld="21" subtotal="average" baseField="2" baseItem="14" numFmtId="2"/>
  </dataFields>
  <formats count="3">
    <format dxfId="2">
      <pivotArea outline="0" collapsedLevelsAreSubtotals="1" fieldPosition="0"/>
    </format>
    <format dxfId="1">
      <pivotArea outline="0" fieldPosition="0">
        <references count="1">
          <reference field="4294967294" count="1" selected="0">
            <x v="2"/>
          </reference>
        </references>
      </pivotArea>
    </format>
    <format dxfId="0">
      <pivotArea outline="0" fieldPosition="0">
        <references count="1">
          <reference field="4294967294" count="2" selected="0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CF6A3-40F6-4341-8AC6-1874F1207B8E}">
  <dimension ref="A1:X351"/>
  <sheetViews>
    <sheetView zoomScale="130" zoomScaleNormal="130" workbookViewId="0"/>
  </sheetViews>
  <sheetFormatPr baseColWidth="10" defaultColWidth="11.5703125" defaultRowHeight="15" x14ac:dyDescent="0.25"/>
  <cols>
    <col min="1" max="1" width="13" bestFit="1" customWidth="1"/>
    <col min="2" max="2" width="25.28515625" bestFit="1" customWidth="1"/>
    <col min="3" max="3" width="11.42578125" bestFit="1" customWidth="1"/>
    <col min="4" max="7" width="13.7109375" bestFit="1" customWidth="1"/>
    <col min="8" max="8" width="13.140625" bestFit="1" customWidth="1"/>
    <col min="9" max="10" width="13.7109375" customWidth="1"/>
    <col min="11" max="14" width="13.7109375" bestFit="1" customWidth="1"/>
    <col min="15" max="15" width="13.140625" bestFit="1" customWidth="1"/>
    <col min="16" max="20" width="13.140625" customWidth="1"/>
    <col min="21" max="24" width="13.140625" bestFit="1" customWidth="1"/>
  </cols>
  <sheetData>
    <row r="1" spans="1:24" x14ac:dyDescent="0.25">
      <c r="A1" t="s">
        <v>394</v>
      </c>
      <c r="B1" t="s">
        <v>0</v>
      </c>
      <c r="C1" t="s">
        <v>1</v>
      </c>
      <c r="D1" t="s">
        <v>402</v>
      </c>
      <c r="E1" t="s">
        <v>401</v>
      </c>
      <c r="F1" t="s">
        <v>393</v>
      </c>
      <c r="G1" t="s">
        <v>2</v>
      </c>
      <c r="H1" t="s">
        <v>3</v>
      </c>
      <c r="I1" t="s">
        <v>407</v>
      </c>
      <c r="J1" t="s">
        <v>408</v>
      </c>
      <c r="K1" t="s">
        <v>403</v>
      </c>
      <c r="L1" t="s">
        <v>4</v>
      </c>
      <c r="M1" t="s">
        <v>392</v>
      </c>
      <c r="N1" t="s">
        <v>5</v>
      </c>
      <c r="O1" t="s">
        <v>6</v>
      </c>
      <c r="P1" t="s">
        <v>409</v>
      </c>
      <c r="Q1" t="s">
        <v>410</v>
      </c>
      <c r="R1" t="s">
        <v>404</v>
      </c>
      <c r="S1" t="s">
        <v>405</v>
      </c>
      <c r="T1" t="s">
        <v>406</v>
      </c>
      <c r="U1" t="s">
        <v>8</v>
      </c>
      <c r="V1" t="s">
        <v>9</v>
      </c>
      <c r="W1" t="s">
        <v>10</v>
      </c>
      <c r="X1" t="s">
        <v>11</v>
      </c>
    </row>
    <row r="2" spans="1:24" x14ac:dyDescent="0.25">
      <c r="A2" t="s">
        <v>395</v>
      </c>
      <c r="B2" t="s">
        <v>33</v>
      </c>
      <c r="C2" t="s">
        <v>41</v>
      </c>
      <c r="D2">
        <v>-0.76580789500000002</v>
      </c>
      <c r="E2">
        <v>-0.10319800599999999</v>
      </c>
      <c r="F2">
        <v>-0.28527186548946204</v>
      </c>
      <c r="G2">
        <v>-0.8690059</v>
      </c>
      <c r="H2">
        <v>0.29546119599999998</v>
      </c>
      <c r="I2">
        <f>+D2+E2+F2</f>
        <v>-1.1542777664894621</v>
      </c>
      <c r="J2">
        <f>1/(1+EXP(-I2))</f>
        <v>0.23970859915777304</v>
      </c>
      <c r="K2">
        <v>-0.95194763900000001</v>
      </c>
      <c r="L2">
        <v>-0.43103137899999999</v>
      </c>
      <c r="M2">
        <v>-0.3346834104896344</v>
      </c>
      <c r="N2">
        <v>-1.382979019</v>
      </c>
      <c r="O2">
        <v>0.200530982</v>
      </c>
      <c r="P2">
        <f>+K2+L2+M2</f>
        <v>-1.7176624284896342</v>
      </c>
      <c r="Q2">
        <f>1/(1+EXP(-P2))</f>
        <v>0.15217250271028815</v>
      </c>
      <c r="R2">
        <f>+AVERAGE(O2,H2)</f>
        <v>0.24799608899999998</v>
      </c>
      <c r="S2">
        <f>+AVERAGE(E2,L2)</f>
        <v>-0.26711469249999997</v>
      </c>
      <c r="T2">
        <f>+AVERAGE(G2,N2)</f>
        <v>-1.1259924594999999</v>
      </c>
      <c r="U2" s="1">
        <v>7.0699999999999997E-29</v>
      </c>
      <c r="V2">
        <v>1</v>
      </c>
      <c r="W2" s="1">
        <v>1.4400000000000001E-32</v>
      </c>
      <c r="X2" s="1">
        <v>1.31E-34</v>
      </c>
    </row>
    <row r="3" spans="1:24" x14ac:dyDescent="0.25">
      <c r="A3" t="s">
        <v>395</v>
      </c>
      <c r="B3" t="s">
        <v>38</v>
      </c>
      <c r="C3" t="s">
        <v>111</v>
      </c>
      <c r="D3">
        <v>-0.76580789500000002</v>
      </c>
      <c r="E3">
        <v>-0.18657446</v>
      </c>
      <c r="F3">
        <v>-6.8234224002180349E-2</v>
      </c>
      <c r="G3">
        <v>-0.95238235400000004</v>
      </c>
      <c r="H3">
        <v>0.27840596400000001</v>
      </c>
      <c r="I3">
        <f t="shared" ref="I3:I66" si="0">+D3+E3+F3</f>
        <v>-1.0206165790021804</v>
      </c>
      <c r="J3">
        <f t="shared" ref="J3:J66" si="1">1/(1+EXP(-I3))</f>
        <v>0.26490731581991356</v>
      </c>
      <c r="K3">
        <v>-0.95194763900000001</v>
      </c>
      <c r="L3">
        <v>1.9056129000000002E-2</v>
      </c>
      <c r="M3">
        <v>0.23599397861893998</v>
      </c>
      <c r="N3">
        <v>-0.93289151000000003</v>
      </c>
      <c r="O3">
        <v>0.28233845800000001</v>
      </c>
      <c r="P3">
        <f t="shared" ref="P3:P66" si="2">+K3+L3+M3</f>
        <v>-0.69689753138106003</v>
      </c>
      <c r="Q3">
        <f t="shared" ref="Q3:Q66" si="3">1/(1+EXP(-P3))</f>
        <v>0.33250044362074688</v>
      </c>
      <c r="R3">
        <f>+AVERAGE(O3,H3)</f>
        <v>0.28037221099999998</v>
      </c>
      <c r="S3">
        <f>+AVERAGE(E3,L3)</f>
        <v>-8.3759165499999996E-2</v>
      </c>
      <c r="T3">
        <f>+AVERAGE(G3,N3)</f>
        <v>-0.94263693200000009</v>
      </c>
      <c r="U3" s="1">
        <v>6.5399999999999998E-16</v>
      </c>
      <c r="V3" s="1">
        <v>9.9500000000000006E-40</v>
      </c>
      <c r="W3" s="1">
        <v>3.0300000000000001E-18</v>
      </c>
      <c r="X3">
        <v>1</v>
      </c>
    </row>
    <row r="4" spans="1:24" x14ac:dyDescent="0.25">
      <c r="A4" t="s">
        <v>395</v>
      </c>
      <c r="B4" t="s">
        <v>54</v>
      </c>
      <c r="C4" t="s">
        <v>204</v>
      </c>
      <c r="D4">
        <v>-0.76580789500000002</v>
      </c>
      <c r="E4">
        <v>-1.4014197000000001E-2</v>
      </c>
      <c r="F4">
        <v>0.10108352689561931</v>
      </c>
      <c r="G4">
        <v>-0.77982209199999997</v>
      </c>
      <c r="H4">
        <v>0.31435823099999999</v>
      </c>
      <c r="I4">
        <f t="shared" si="0"/>
        <v>-0.67873856510438069</v>
      </c>
      <c r="J4">
        <f t="shared" si="1"/>
        <v>0.33654289991996583</v>
      </c>
      <c r="K4">
        <v>-0.95194763900000001</v>
      </c>
      <c r="L4">
        <v>-0.17524656399999999</v>
      </c>
      <c r="M4">
        <v>0.31611013044056913</v>
      </c>
      <c r="N4">
        <v>-1.127194204</v>
      </c>
      <c r="O4">
        <v>0.244679272</v>
      </c>
      <c r="P4">
        <f t="shared" si="2"/>
        <v>-0.81108407255943082</v>
      </c>
      <c r="Q4">
        <f t="shared" si="3"/>
        <v>0.30765953452979833</v>
      </c>
      <c r="R4">
        <f>+AVERAGE(O4,H4)</f>
        <v>0.2795187515</v>
      </c>
      <c r="S4">
        <f>+AVERAGE(E4,L4)</f>
        <v>-9.46303805E-2</v>
      </c>
      <c r="T4">
        <f>+AVERAGE(G4,N4)</f>
        <v>-0.95350814800000006</v>
      </c>
      <c r="U4" s="1">
        <v>2.26E-10</v>
      </c>
      <c r="V4" s="1">
        <v>7.8799999999999993E-33</v>
      </c>
      <c r="W4" s="1">
        <v>1.08E-15</v>
      </c>
      <c r="X4">
        <v>1</v>
      </c>
    </row>
    <row r="5" spans="1:24" x14ac:dyDescent="0.25">
      <c r="A5" t="s">
        <v>395</v>
      </c>
      <c r="B5" t="s">
        <v>50</v>
      </c>
      <c r="C5" t="s">
        <v>147</v>
      </c>
      <c r="D5">
        <v>-0.76580789500000002</v>
      </c>
      <c r="E5">
        <v>-7.2779712999999996E-2</v>
      </c>
      <c r="F5">
        <v>0.35462276651059182</v>
      </c>
      <c r="G5">
        <v>-0.83858760799999998</v>
      </c>
      <c r="H5">
        <v>0.30183233300000001</v>
      </c>
      <c r="I5">
        <f t="shared" si="0"/>
        <v>-0.48396484148940816</v>
      </c>
      <c r="J5">
        <f t="shared" si="1"/>
        <v>0.38131632375546781</v>
      </c>
      <c r="K5">
        <v>-0.95194763900000001</v>
      </c>
      <c r="L5">
        <v>-0.26017420099999999</v>
      </c>
      <c r="M5">
        <v>0.53261546166894247</v>
      </c>
      <c r="N5">
        <v>-1.2121218410000001</v>
      </c>
      <c r="O5">
        <v>0.22932583100000001</v>
      </c>
      <c r="P5">
        <f t="shared" si="2"/>
        <v>-0.67950637833105754</v>
      </c>
      <c r="Q5">
        <f t="shared" si="3"/>
        <v>0.33637148274079709</v>
      </c>
      <c r="R5">
        <f>+AVERAGE(O5,H5)</f>
        <v>0.26557908200000002</v>
      </c>
      <c r="S5">
        <f>+AVERAGE(E5,L5)</f>
        <v>-0.16647695699999998</v>
      </c>
      <c r="T5">
        <f>+AVERAGE(G5,N5)</f>
        <v>-1.0253547245000001</v>
      </c>
      <c r="U5" s="1">
        <v>9.8699999999999998E-15</v>
      </c>
      <c r="V5" s="1">
        <v>8.3700000000000005E-36</v>
      </c>
      <c r="W5" s="1">
        <v>1.17E-20</v>
      </c>
      <c r="X5">
        <v>1</v>
      </c>
    </row>
    <row r="6" spans="1:24" x14ac:dyDescent="0.25">
      <c r="A6" t="s">
        <v>395</v>
      </c>
      <c r="B6" t="s">
        <v>89</v>
      </c>
      <c r="C6" t="s">
        <v>263</v>
      </c>
      <c r="D6">
        <v>-0.76580789500000002</v>
      </c>
      <c r="E6">
        <v>0.101608043</v>
      </c>
      <c r="F6">
        <v>0.30158677788175303</v>
      </c>
      <c r="G6">
        <v>-0.66419985100000001</v>
      </c>
      <c r="H6">
        <v>0.33979680499999998</v>
      </c>
      <c r="I6">
        <f t="shared" si="0"/>
        <v>-0.36261307411824695</v>
      </c>
      <c r="J6">
        <f t="shared" si="1"/>
        <v>0.41032716188394236</v>
      </c>
      <c r="K6">
        <v>-0.95194763900000001</v>
      </c>
      <c r="L6">
        <v>-7.6298357999999997E-2</v>
      </c>
      <c r="M6">
        <v>0.31251975382699121</v>
      </c>
      <c r="N6">
        <v>-1.028245997</v>
      </c>
      <c r="O6">
        <v>0.26342429499999997</v>
      </c>
      <c r="P6">
        <f t="shared" si="2"/>
        <v>-0.7157262431730087</v>
      </c>
      <c r="Q6">
        <f t="shared" si="3"/>
        <v>0.32833478663920834</v>
      </c>
      <c r="R6">
        <f>+AVERAGE(O6,H6)</f>
        <v>0.30161054999999998</v>
      </c>
      <c r="S6">
        <f>+AVERAGE(E6,L6)</f>
        <v>1.2654842499999999E-2</v>
      </c>
      <c r="T6">
        <f>+AVERAGE(G6,N6)</f>
        <v>-0.84622292399999999</v>
      </c>
      <c r="U6">
        <v>0.99997856299999999</v>
      </c>
      <c r="V6" s="1">
        <v>2.5899999999999999E-23</v>
      </c>
      <c r="W6">
        <v>2.0800000000000001E-5</v>
      </c>
      <c r="X6">
        <v>6.3099999999999997E-7</v>
      </c>
    </row>
    <row r="7" spans="1:24" x14ac:dyDescent="0.25">
      <c r="A7" t="s">
        <v>395</v>
      </c>
      <c r="B7" t="s">
        <v>31</v>
      </c>
      <c r="C7" t="s">
        <v>32</v>
      </c>
      <c r="D7">
        <v>-0.76580789500000002</v>
      </c>
      <c r="E7">
        <v>-0.36596220099999999</v>
      </c>
      <c r="F7">
        <v>-0.40815884462967861</v>
      </c>
      <c r="G7">
        <v>-1.1317700959999999</v>
      </c>
      <c r="H7">
        <v>0.24383458399999999</v>
      </c>
      <c r="I7">
        <f t="shared" si="0"/>
        <v>-1.5399289406296786</v>
      </c>
      <c r="J7">
        <f t="shared" si="1"/>
        <v>0.17654560495783031</v>
      </c>
      <c r="K7">
        <v>-0.95194763900000001</v>
      </c>
      <c r="L7">
        <v>-0.91538797699999996</v>
      </c>
      <c r="M7">
        <v>-0.66911011404127352</v>
      </c>
      <c r="N7">
        <v>-1.8673356160000001</v>
      </c>
      <c r="O7">
        <v>0.133850315</v>
      </c>
      <c r="P7">
        <f t="shared" si="2"/>
        <v>-2.5364457300412737</v>
      </c>
      <c r="Q7">
        <f t="shared" si="3"/>
        <v>7.3342367197471323E-2</v>
      </c>
      <c r="R7">
        <f>+AVERAGE(O7,H7)</f>
        <v>0.18884244950000001</v>
      </c>
      <c r="S7">
        <f>+AVERAGE(E7,L7)</f>
        <v>-0.64067508899999992</v>
      </c>
      <c r="T7">
        <f>+AVERAGE(G7,N7)</f>
        <v>-1.499552856</v>
      </c>
      <c r="U7" s="1">
        <v>9.1000000000000003E-41</v>
      </c>
      <c r="V7">
        <v>1</v>
      </c>
      <c r="W7" s="1">
        <v>1.7499999999999999E-44</v>
      </c>
      <c r="X7" s="1">
        <v>1.8900000000000001E-60</v>
      </c>
    </row>
    <row r="8" spans="1:24" x14ac:dyDescent="0.25">
      <c r="A8" t="s">
        <v>395</v>
      </c>
      <c r="B8" t="s">
        <v>12</v>
      </c>
      <c r="C8" t="s">
        <v>163</v>
      </c>
      <c r="D8">
        <v>-0.76580789500000002</v>
      </c>
      <c r="E8">
        <v>-0.488002504</v>
      </c>
      <c r="F8">
        <v>0.26350859048821873</v>
      </c>
      <c r="G8">
        <v>-1.253810399</v>
      </c>
      <c r="H8">
        <v>0.222041238</v>
      </c>
      <c r="I8">
        <f t="shared" si="0"/>
        <v>-0.99030180851178129</v>
      </c>
      <c r="J8">
        <f t="shared" si="1"/>
        <v>0.27085246894044385</v>
      </c>
      <c r="K8">
        <v>-0.95194763900000001</v>
      </c>
      <c r="L8">
        <v>-0.72043675900000004</v>
      </c>
      <c r="M8">
        <v>-1.2208396677130032E-2</v>
      </c>
      <c r="N8">
        <v>-1.672384399</v>
      </c>
      <c r="O8">
        <v>0.15810653499999999</v>
      </c>
      <c r="P8">
        <f t="shared" si="2"/>
        <v>-1.6845927946771302</v>
      </c>
      <c r="Q8">
        <f t="shared" si="3"/>
        <v>0.15648826451677741</v>
      </c>
      <c r="R8">
        <f>+AVERAGE(O8,H8)</f>
        <v>0.19007388650000001</v>
      </c>
      <c r="S8">
        <f>+AVERAGE(E8,L8)</f>
        <v>-0.60421963150000002</v>
      </c>
      <c r="T8">
        <f>+AVERAGE(G8,N8)</f>
        <v>-1.463097399</v>
      </c>
      <c r="U8" s="1">
        <v>4.2799999999999998E-14</v>
      </c>
      <c r="V8">
        <v>1</v>
      </c>
      <c r="W8" s="1">
        <v>6.6700000000000004E-17</v>
      </c>
      <c r="X8" s="1">
        <v>8.1699999999999998E-30</v>
      </c>
    </row>
    <row r="9" spans="1:24" x14ac:dyDescent="0.25">
      <c r="A9" t="s">
        <v>395</v>
      </c>
      <c r="B9" t="s">
        <v>33</v>
      </c>
      <c r="C9" t="s">
        <v>37</v>
      </c>
      <c r="D9">
        <v>-0.76580789500000002</v>
      </c>
      <c r="E9">
        <v>-9.1242035999999999E-2</v>
      </c>
      <c r="F9">
        <v>-0.28527186548946204</v>
      </c>
      <c r="G9">
        <v>-0.85704992999999996</v>
      </c>
      <c r="H9">
        <v>0.29795606800000002</v>
      </c>
      <c r="I9">
        <f t="shared" si="0"/>
        <v>-1.1423217964894621</v>
      </c>
      <c r="J9">
        <f t="shared" si="1"/>
        <v>0.2418943314424262</v>
      </c>
      <c r="K9">
        <v>-0.95194763900000001</v>
      </c>
      <c r="L9">
        <v>-0.16098092899999999</v>
      </c>
      <c r="M9">
        <v>-0.3346834104896344</v>
      </c>
      <c r="N9">
        <v>-1.1129285680000001</v>
      </c>
      <c r="O9">
        <v>0.24732531599999999</v>
      </c>
      <c r="P9">
        <f t="shared" si="2"/>
        <v>-1.4476119784896344</v>
      </c>
      <c r="Q9">
        <f t="shared" si="3"/>
        <v>0.19036935693891313</v>
      </c>
      <c r="R9">
        <f>+AVERAGE(O9,H9)</f>
        <v>0.27264069200000002</v>
      </c>
      <c r="S9">
        <f>+AVERAGE(E9,L9)</f>
        <v>-0.12611148249999998</v>
      </c>
      <c r="T9">
        <f>+AVERAGE(G9,N9)</f>
        <v>-0.98498924900000007</v>
      </c>
      <c r="U9" s="1">
        <v>5.4900000000000003E-34</v>
      </c>
      <c r="V9">
        <v>1</v>
      </c>
      <c r="W9" s="1">
        <v>1.08E-38</v>
      </c>
      <c r="X9" s="1">
        <v>2.21E-33</v>
      </c>
    </row>
    <row r="10" spans="1:24" x14ac:dyDescent="0.25">
      <c r="A10" t="s">
        <v>395</v>
      </c>
      <c r="B10" t="s">
        <v>78</v>
      </c>
      <c r="C10" t="s">
        <v>184</v>
      </c>
      <c r="D10">
        <v>-0.76580789500000002</v>
      </c>
      <c r="E10">
        <v>-2.4502823E-2</v>
      </c>
      <c r="F10">
        <v>-0.4387057682465787</v>
      </c>
      <c r="G10">
        <v>-0.79031071799999997</v>
      </c>
      <c r="H10">
        <v>0.31210195600000001</v>
      </c>
      <c r="I10">
        <f t="shared" si="0"/>
        <v>-1.2290164862465787</v>
      </c>
      <c r="J10">
        <f t="shared" si="1"/>
        <v>0.22635360999628279</v>
      </c>
      <c r="K10">
        <v>-0.95194763900000001</v>
      </c>
      <c r="L10">
        <v>0.17340689500000001</v>
      </c>
      <c r="M10">
        <v>-0.76684157506166817</v>
      </c>
      <c r="N10">
        <v>-0.77854074399999995</v>
      </c>
      <c r="O10">
        <v>0.314634474</v>
      </c>
      <c r="P10">
        <f t="shared" si="2"/>
        <v>-1.5453823190616682</v>
      </c>
      <c r="Q10">
        <f t="shared" si="3"/>
        <v>0.17575420570024555</v>
      </c>
      <c r="R10">
        <f>+AVERAGE(O10,H10)</f>
        <v>0.31336821500000001</v>
      </c>
      <c r="S10">
        <f>+AVERAGE(E10,L10)</f>
        <v>7.4452035999999999E-2</v>
      </c>
      <c r="T10">
        <f>+AVERAGE(G10,N10)</f>
        <v>-0.78442573100000001</v>
      </c>
      <c r="U10" s="1">
        <v>7.0300000000000003E-13</v>
      </c>
      <c r="V10">
        <v>1</v>
      </c>
      <c r="W10" s="1">
        <v>7.2499999999999995E-17</v>
      </c>
      <c r="X10" s="1">
        <v>5.4099999999999996E-26</v>
      </c>
    </row>
    <row r="11" spans="1:24" x14ac:dyDescent="0.25">
      <c r="A11" t="s">
        <v>395</v>
      </c>
      <c r="B11" t="s">
        <v>89</v>
      </c>
      <c r="C11" t="s">
        <v>248</v>
      </c>
      <c r="D11">
        <v>-0.76580789500000002</v>
      </c>
      <c r="E11">
        <v>-0.14272987100000001</v>
      </c>
      <c r="F11">
        <v>0.30158677788175303</v>
      </c>
      <c r="G11">
        <v>-0.90853776500000005</v>
      </c>
      <c r="H11">
        <v>0.28729914899999998</v>
      </c>
      <c r="I11">
        <f t="shared" si="0"/>
        <v>-0.60695098811824699</v>
      </c>
      <c r="J11">
        <f t="shared" si="1"/>
        <v>0.35275503208253217</v>
      </c>
      <c r="K11">
        <v>-0.95194763900000001</v>
      </c>
      <c r="L11">
        <v>-0.92098719799999995</v>
      </c>
      <c r="M11">
        <v>0.31251975382699121</v>
      </c>
      <c r="N11">
        <v>-1.8729348370000001</v>
      </c>
      <c r="O11">
        <v>0.133202503</v>
      </c>
      <c r="P11">
        <f t="shared" si="2"/>
        <v>-1.5604150831730086</v>
      </c>
      <c r="Q11">
        <f t="shared" si="3"/>
        <v>0.17358709335450553</v>
      </c>
      <c r="R11">
        <f>+AVERAGE(O11,H11)</f>
        <v>0.210250826</v>
      </c>
      <c r="S11">
        <f>+AVERAGE(E11,L11)</f>
        <v>-0.53185853449999998</v>
      </c>
      <c r="T11">
        <f>+AVERAGE(G11,N11)</f>
        <v>-1.390736301</v>
      </c>
      <c r="U11">
        <v>0.999636882</v>
      </c>
      <c r="V11" s="1">
        <v>1.64E-11</v>
      </c>
      <c r="W11">
        <v>3.63118E-4</v>
      </c>
      <c r="X11" s="1">
        <v>5.8299999999999995E-11</v>
      </c>
    </row>
    <row r="12" spans="1:24" x14ac:dyDescent="0.25">
      <c r="A12" t="s">
        <v>395</v>
      </c>
      <c r="B12" t="s">
        <v>58</v>
      </c>
      <c r="C12" t="s">
        <v>237</v>
      </c>
      <c r="D12">
        <v>-0.76580789500000002</v>
      </c>
      <c r="E12">
        <v>2.6640130000000001E-2</v>
      </c>
      <c r="F12">
        <v>6.292627996845801E-2</v>
      </c>
      <c r="G12">
        <v>-0.73916776500000003</v>
      </c>
      <c r="H12">
        <v>0.323186158</v>
      </c>
      <c r="I12">
        <f t="shared" si="0"/>
        <v>-0.67624148503154202</v>
      </c>
      <c r="J12">
        <f t="shared" si="1"/>
        <v>0.33710067977116731</v>
      </c>
      <c r="K12">
        <v>-0.95194763900000001</v>
      </c>
      <c r="L12">
        <v>3.0320770000000002E-3</v>
      </c>
      <c r="M12">
        <v>0.54289824242765494</v>
      </c>
      <c r="N12">
        <v>-0.94891556300000002</v>
      </c>
      <c r="O12">
        <v>0.27910296299999998</v>
      </c>
      <c r="P12">
        <f t="shared" si="2"/>
        <v>-0.4060173195723451</v>
      </c>
      <c r="Q12">
        <f t="shared" si="3"/>
        <v>0.39986747657005994</v>
      </c>
      <c r="R12">
        <f>+AVERAGE(O12,H12)</f>
        <v>0.30114456049999999</v>
      </c>
      <c r="S12">
        <f>+AVERAGE(E12,L12)</f>
        <v>1.4836103500000001E-2</v>
      </c>
      <c r="T12">
        <f>+AVERAGE(G12,N12)</f>
        <v>-0.84404166400000002</v>
      </c>
      <c r="U12">
        <v>0.99678058400000003</v>
      </c>
      <c r="V12">
        <v>2.3822639999999998E-3</v>
      </c>
      <c r="W12">
        <v>8.3715199999999997E-4</v>
      </c>
      <c r="X12" s="1">
        <v>2.5200000000000001E-10</v>
      </c>
    </row>
    <row r="13" spans="1:24" x14ac:dyDescent="0.25">
      <c r="A13" t="s">
        <v>395</v>
      </c>
      <c r="B13" t="s">
        <v>81</v>
      </c>
      <c r="C13" t="s">
        <v>156</v>
      </c>
      <c r="D13">
        <v>-0.76580789500000002</v>
      </c>
      <c r="E13">
        <v>-0.32961180099999998</v>
      </c>
      <c r="F13">
        <v>1.8542134737425525E-2</v>
      </c>
      <c r="G13">
        <v>-1.095419696</v>
      </c>
      <c r="H13">
        <v>0.250599089</v>
      </c>
      <c r="I13">
        <f t="shared" si="0"/>
        <v>-1.0768775612625745</v>
      </c>
      <c r="J13">
        <f t="shared" si="1"/>
        <v>0.25409736386246312</v>
      </c>
      <c r="K13">
        <v>-0.95194763900000001</v>
      </c>
      <c r="L13">
        <v>-0.29919794199999999</v>
      </c>
      <c r="M13">
        <v>8.7894785803348752E-2</v>
      </c>
      <c r="N13">
        <v>-1.2511455819999999</v>
      </c>
      <c r="O13">
        <v>0.222501896</v>
      </c>
      <c r="P13">
        <f t="shared" si="2"/>
        <v>-1.1632507951966513</v>
      </c>
      <c r="Q13">
        <f t="shared" si="3"/>
        <v>0.23807710063080756</v>
      </c>
      <c r="R13">
        <f>+AVERAGE(O13,H13)</f>
        <v>0.23655049249999999</v>
      </c>
      <c r="S13">
        <f>+AVERAGE(E13,L13)</f>
        <v>-0.31440487149999996</v>
      </c>
      <c r="T13">
        <f>+AVERAGE(G13,N13)</f>
        <v>-1.173282639</v>
      </c>
      <c r="U13" s="1">
        <v>2.2199999999999999E-14</v>
      </c>
      <c r="V13" s="1">
        <v>1.05E-31</v>
      </c>
      <c r="W13" s="1">
        <v>3.5900000000000002E-18</v>
      </c>
      <c r="X13">
        <v>1</v>
      </c>
    </row>
    <row r="14" spans="1:24" x14ac:dyDescent="0.25">
      <c r="A14" t="s">
        <v>395</v>
      </c>
      <c r="B14" t="s">
        <v>27</v>
      </c>
      <c r="C14" t="s">
        <v>95</v>
      </c>
      <c r="D14">
        <v>-0.76580789500000002</v>
      </c>
      <c r="E14">
        <v>0.31023488900000001</v>
      </c>
      <c r="F14">
        <v>0.36676956185289034</v>
      </c>
      <c r="G14">
        <v>-0.455573006</v>
      </c>
      <c r="H14">
        <v>0.38803655399999998</v>
      </c>
      <c r="I14">
        <f t="shared" si="0"/>
        <v>-8.8803444147109667E-2</v>
      </c>
      <c r="J14">
        <f t="shared" si="1"/>
        <v>0.47781371722831462</v>
      </c>
      <c r="K14">
        <v>-0.95194763900000001</v>
      </c>
      <c r="L14">
        <v>0.28215282400000002</v>
      </c>
      <c r="M14">
        <v>0.3511302049154727</v>
      </c>
      <c r="N14">
        <v>-0.66979481500000004</v>
      </c>
      <c r="O14">
        <v>0.33854278700000001</v>
      </c>
      <c r="P14">
        <f t="shared" si="2"/>
        <v>-0.31866461008452723</v>
      </c>
      <c r="Q14">
        <f t="shared" si="3"/>
        <v>0.42100122703602583</v>
      </c>
      <c r="R14">
        <f>+AVERAGE(O14,H14)</f>
        <v>0.36328967049999999</v>
      </c>
      <c r="S14">
        <f>+AVERAGE(E14,L14)</f>
        <v>0.29619385650000002</v>
      </c>
      <c r="T14">
        <f>+AVERAGE(G14,N14)</f>
        <v>-0.5626839105</v>
      </c>
      <c r="U14" s="1">
        <v>1.5E-16</v>
      </c>
      <c r="V14" s="1">
        <v>8.9400000000000003E-41</v>
      </c>
      <c r="W14" s="1">
        <v>1.56E-22</v>
      </c>
      <c r="X14">
        <v>1</v>
      </c>
    </row>
    <row r="15" spans="1:24" x14ac:dyDescent="0.25">
      <c r="A15" t="s">
        <v>395</v>
      </c>
      <c r="B15" t="s">
        <v>81</v>
      </c>
      <c r="C15" t="s">
        <v>243</v>
      </c>
      <c r="D15">
        <v>-0.76580789500000002</v>
      </c>
      <c r="E15">
        <v>-0.31197069100000002</v>
      </c>
      <c r="F15">
        <v>1.8542134737425525E-2</v>
      </c>
      <c r="G15">
        <v>-1.077778586</v>
      </c>
      <c r="H15">
        <v>0.25392662900000001</v>
      </c>
      <c r="I15">
        <f t="shared" si="0"/>
        <v>-1.0592364512625745</v>
      </c>
      <c r="J15">
        <f t="shared" si="1"/>
        <v>0.25745539688993674</v>
      </c>
      <c r="K15">
        <v>-0.95194763900000001</v>
      </c>
      <c r="L15">
        <v>-0.57446528299999999</v>
      </c>
      <c r="M15">
        <v>8.7894785803348752E-2</v>
      </c>
      <c r="N15">
        <v>-1.5264129230000001</v>
      </c>
      <c r="O15">
        <v>0.178519124</v>
      </c>
      <c r="P15">
        <f t="shared" si="2"/>
        <v>-1.4385181361966513</v>
      </c>
      <c r="Q15">
        <f t="shared" si="3"/>
        <v>0.19177492855573966</v>
      </c>
      <c r="R15">
        <f>+AVERAGE(O15,H15)</f>
        <v>0.21622287649999999</v>
      </c>
      <c r="S15">
        <f>+AVERAGE(E15,L15)</f>
        <v>-0.44321798700000004</v>
      </c>
      <c r="T15">
        <f>+AVERAGE(G15,N15)</f>
        <v>-1.3020957545</v>
      </c>
      <c r="U15">
        <v>0.99934531800000004</v>
      </c>
      <c r="V15" s="1">
        <v>2.3400000000000001E-8</v>
      </c>
      <c r="W15">
        <v>6.5465900000000004E-4</v>
      </c>
      <c r="X15" s="1">
        <v>6.87E-13</v>
      </c>
    </row>
    <row r="16" spans="1:24" x14ac:dyDescent="0.25">
      <c r="A16" t="s">
        <v>395</v>
      </c>
      <c r="B16" t="s">
        <v>35</v>
      </c>
      <c r="C16" t="s">
        <v>188</v>
      </c>
      <c r="D16">
        <v>-0.76580789500000002</v>
      </c>
      <c r="E16">
        <v>-0.60837555200000004</v>
      </c>
      <c r="F16">
        <v>0</v>
      </c>
      <c r="G16">
        <v>-1.3741834470000001</v>
      </c>
      <c r="H16">
        <v>0.20194478799999999</v>
      </c>
      <c r="I16">
        <f t="shared" si="0"/>
        <v>-1.3741834470000001</v>
      </c>
      <c r="J16">
        <f t="shared" si="1"/>
        <v>0.20194478843810321</v>
      </c>
      <c r="K16">
        <v>-0.95194763900000001</v>
      </c>
      <c r="L16">
        <v>-0.72961068699999998</v>
      </c>
      <c r="M16">
        <v>0</v>
      </c>
      <c r="N16">
        <v>-1.681558326</v>
      </c>
      <c r="O16">
        <v>0.15688923099999999</v>
      </c>
      <c r="P16">
        <f t="shared" si="2"/>
        <v>-1.681558326</v>
      </c>
      <c r="Q16">
        <f t="shared" si="3"/>
        <v>0.15688923108423797</v>
      </c>
      <c r="R16">
        <f>+AVERAGE(O16,H16)</f>
        <v>0.1794170095</v>
      </c>
      <c r="S16">
        <f>+AVERAGE(E16,L16)</f>
        <v>-0.66899311950000007</v>
      </c>
      <c r="T16">
        <f>+AVERAGE(G16,N16)</f>
        <v>-1.5278708865000001</v>
      </c>
      <c r="U16" s="1">
        <v>1.1599999999999999E-12</v>
      </c>
      <c r="V16">
        <v>1</v>
      </c>
      <c r="W16" s="1">
        <v>5.7700000000000003E-15</v>
      </c>
      <c r="X16" s="1">
        <v>6.7900000000000004E-28</v>
      </c>
    </row>
    <row r="17" spans="1:24" x14ac:dyDescent="0.25">
      <c r="A17" t="s">
        <v>395</v>
      </c>
      <c r="B17" t="s">
        <v>81</v>
      </c>
      <c r="C17" t="s">
        <v>106</v>
      </c>
      <c r="D17">
        <v>-0.76580789500000002</v>
      </c>
      <c r="E17">
        <v>-6.8896111999999995E-2</v>
      </c>
      <c r="F17">
        <v>1.8542134737425525E-2</v>
      </c>
      <c r="G17">
        <v>-0.83470400600000005</v>
      </c>
      <c r="H17">
        <v>0.30265135199999998</v>
      </c>
      <c r="I17">
        <f t="shared" si="0"/>
        <v>-0.81616187226257453</v>
      </c>
      <c r="J17">
        <f t="shared" si="1"/>
        <v>0.30657899471461891</v>
      </c>
      <c r="K17">
        <v>-0.95194763900000001</v>
      </c>
      <c r="L17">
        <v>-0.33651239599999999</v>
      </c>
      <c r="M17">
        <v>8.7894785803348752E-2</v>
      </c>
      <c r="N17">
        <v>-1.2884600349999999</v>
      </c>
      <c r="O17">
        <v>0.21611358</v>
      </c>
      <c r="P17">
        <f t="shared" si="2"/>
        <v>-1.2005652491966512</v>
      </c>
      <c r="Q17">
        <f t="shared" si="3"/>
        <v>0.2313746770742128</v>
      </c>
      <c r="R17">
        <f>+AVERAGE(O17,H17)</f>
        <v>0.25938246599999998</v>
      </c>
      <c r="S17">
        <f>+AVERAGE(E17,L17)</f>
        <v>-0.202704254</v>
      </c>
      <c r="T17">
        <f>+AVERAGE(G17,N17)</f>
        <v>-1.0615820204999999</v>
      </c>
      <c r="U17" s="1">
        <v>4.4799999999999998E-16</v>
      </c>
      <c r="V17" s="1">
        <v>2.7000000000000001E-36</v>
      </c>
      <c r="W17" s="1">
        <v>1.24E-19</v>
      </c>
      <c r="X17">
        <v>1</v>
      </c>
    </row>
    <row r="18" spans="1:24" x14ac:dyDescent="0.25">
      <c r="A18" t="s">
        <v>395</v>
      </c>
      <c r="B18" t="s">
        <v>27</v>
      </c>
      <c r="C18" t="s">
        <v>77</v>
      </c>
      <c r="D18">
        <v>-0.76580789500000002</v>
      </c>
      <c r="E18">
        <v>-6.8346977000000003E-2</v>
      </c>
      <c r="F18">
        <v>0.36676956185289034</v>
      </c>
      <c r="G18">
        <v>-0.83415487200000005</v>
      </c>
      <c r="H18">
        <v>0.30276726199999998</v>
      </c>
      <c r="I18">
        <f t="shared" si="0"/>
        <v>-0.46738531014710971</v>
      </c>
      <c r="J18">
        <f t="shared" si="1"/>
        <v>0.3852352920405</v>
      </c>
      <c r="K18">
        <v>-0.95194763900000001</v>
      </c>
      <c r="L18">
        <v>-0.17207307299999999</v>
      </c>
      <c r="M18">
        <v>0.3511302049154727</v>
      </c>
      <c r="N18">
        <v>-1.1240207120000001</v>
      </c>
      <c r="O18">
        <v>0.24526624499999999</v>
      </c>
      <c r="P18">
        <f t="shared" si="2"/>
        <v>-0.77289050708452733</v>
      </c>
      <c r="Q18">
        <f t="shared" si="3"/>
        <v>0.31585416348294537</v>
      </c>
      <c r="R18">
        <f>+AVERAGE(O18,H18)</f>
        <v>0.27401675349999999</v>
      </c>
      <c r="S18">
        <f>+AVERAGE(E18,L18)</f>
        <v>-0.120210025</v>
      </c>
      <c r="T18">
        <f>+AVERAGE(G18,N18)</f>
        <v>-0.97908779200000007</v>
      </c>
      <c r="U18" s="1">
        <v>3.6599999999999999E-17</v>
      </c>
      <c r="V18" s="1">
        <v>4.0499999999999998E-38</v>
      </c>
      <c r="W18" s="1">
        <v>4.0499999999999998E-21</v>
      </c>
      <c r="X18">
        <v>1</v>
      </c>
    </row>
    <row r="19" spans="1:24" x14ac:dyDescent="0.25">
      <c r="A19" t="s">
        <v>395</v>
      </c>
      <c r="B19" t="s">
        <v>89</v>
      </c>
      <c r="C19" t="s">
        <v>259</v>
      </c>
      <c r="D19">
        <v>-0.76580789500000002</v>
      </c>
      <c r="E19">
        <v>-0.19353009400000001</v>
      </c>
      <c r="F19">
        <v>0.30158677788175303</v>
      </c>
      <c r="G19">
        <v>-0.959337989</v>
      </c>
      <c r="H19">
        <v>0.27701076000000002</v>
      </c>
      <c r="I19">
        <f t="shared" si="0"/>
        <v>-0.65775121111824697</v>
      </c>
      <c r="J19">
        <f t="shared" si="1"/>
        <v>0.34124495154822643</v>
      </c>
      <c r="K19">
        <v>-0.95194763900000001</v>
      </c>
      <c r="L19">
        <v>-0.40893300900000001</v>
      </c>
      <c r="M19">
        <v>0.31251975382699121</v>
      </c>
      <c r="N19">
        <v>-1.360880648</v>
      </c>
      <c r="O19">
        <v>0.204097211</v>
      </c>
      <c r="P19">
        <f t="shared" si="2"/>
        <v>-1.0483608941730087</v>
      </c>
      <c r="Q19">
        <f t="shared" si="3"/>
        <v>0.25953997832433501</v>
      </c>
      <c r="R19">
        <f>+AVERAGE(O19,H19)</f>
        <v>0.24055398550000001</v>
      </c>
      <c r="S19">
        <f>+AVERAGE(E19,L19)</f>
        <v>-0.30123155150000003</v>
      </c>
      <c r="T19">
        <f>+AVERAGE(G19,N19)</f>
        <v>-1.1601093185</v>
      </c>
      <c r="U19">
        <v>0.99991494599999997</v>
      </c>
      <c r="V19" s="1">
        <v>4.8300000000000001E-25</v>
      </c>
      <c r="W19">
        <v>8.3999999999999995E-5</v>
      </c>
      <c r="X19">
        <v>1.0300000000000001E-6</v>
      </c>
    </row>
    <row r="20" spans="1:24" x14ac:dyDescent="0.25">
      <c r="A20" t="s">
        <v>395</v>
      </c>
      <c r="B20" t="s">
        <v>81</v>
      </c>
      <c r="C20" t="s">
        <v>200</v>
      </c>
      <c r="D20">
        <v>-0.76580789500000002</v>
      </c>
      <c r="E20">
        <v>-5.2959249999999999E-3</v>
      </c>
      <c r="F20">
        <v>1.8542134737425525E-2</v>
      </c>
      <c r="G20">
        <v>-0.77110382</v>
      </c>
      <c r="H20">
        <v>0.31624037599999999</v>
      </c>
      <c r="I20">
        <f t="shared" si="0"/>
        <v>-0.7525616852625745</v>
      </c>
      <c r="J20">
        <f t="shared" si="1"/>
        <v>0.32026337882128292</v>
      </c>
      <c r="K20">
        <v>-0.95194763900000001</v>
      </c>
      <c r="L20">
        <v>-0.15543589099999999</v>
      </c>
      <c r="M20">
        <v>8.7894785803348752E-2</v>
      </c>
      <c r="N20">
        <v>-1.1073835299999999</v>
      </c>
      <c r="O20">
        <v>0.248359001</v>
      </c>
      <c r="P20">
        <f t="shared" si="2"/>
        <v>-1.0194887441966511</v>
      </c>
      <c r="Q20">
        <f t="shared" si="3"/>
        <v>0.26512699892897096</v>
      </c>
      <c r="R20">
        <f>+AVERAGE(O20,H20)</f>
        <v>0.28229968849999998</v>
      </c>
      <c r="S20">
        <f>+AVERAGE(E20,L20)</f>
        <v>-8.0365908E-2</v>
      </c>
      <c r="T20">
        <f>+AVERAGE(G20,N20)</f>
        <v>-0.93924367499999994</v>
      </c>
      <c r="U20" s="1">
        <v>1.5E-11</v>
      </c>
      <c r="V20" s="1">
        <v>2.1500000000000002E-33</v>
      </c>
      <c r="W20" s="1">
        <v>1.4300000000000001E-16</v>
      </c>
      <c r="X20">
        <v>1</v>
      </c>
    </row>
    <row r="21" spans="1:24" x14ac:dyDescent="0.25">
      <c r="A21" t="s">
        <v>395</v>
      </c>
      <c r="B21" t="s">
        <v>42</v>
      </c>
      <c r="C21" t="s">
        <v>181</v>
      </c>
      <c r="D21">
        <v>-0.76580789500000002</v>
      </c>
      <c r="E21">
        <v>0.33366632400000001</v>
      </c>
      <c r="F21">
        <v>-4.9441097480157715E-2</v>
      </c>
      <c r="G21">
        <v>-0.432141571</v>
      </c>
      <c r="H21">
        <v>0.39361506000000002</v>
      </c>
      <c r="I21">
        <f t="shared" si="0"/>
        <v>-0.48158266848015774</v>
      </c>
      <c r="J21">
        <f t="shared" si="1"/>
        <v>0.38187847082667964</v>
      </c>
      <c r="K21">
        <v>-0.95194763900000001</v>
      </c>
      <c r="L21">
        <v>0.22030012700000001</v>
      </c>
      <c r="M21">
        <v>0.143403965745907</v>
      </c>
      <c r="N21">
        <v>-0.731647512</v>
      </c>
      <c r="O21">
        <v>0.32483329599999999</v>
      </c>
      <c r="P21">
        <f t="shared" si="2"/>
        <v>-0.58824354625409303</v>
      </c>
      <c r="Q21">
        <f t="shared" si="3"/>
        <v>0.35703796776191243</v>
      </c>
      <c r="R21">
        <f>+AVERAGE(O21,H21)</f>
        <v>0.35922417800000001</v>
      </c>
      <c r="S21">
        <f>+AVERAGE(E21,L21)</f>
        <v>0.27698322549999999</v>
      </c>
      <c r="T21">
        <f>+AVERAGE(G21,N21)</f>
        <v>-0.58189454149999997</v>
      </c>
      <c r="U21" s="1">
        <v>2.7399999999999999E-13</v>
      </c>
      <c r="V21" s="1">
        <v>3.8099999999999999E-32</v>
      </c>
      <c r="W21" s="1">
        <v>6.3400000000000002E-18</v>
      </c>
      <c r="X21">
        <v>1</v>
      </c>
    </row>
    <row r="22" spans="1:24" x14ac:dyDescent="0.25">
      <c r="A22" t="s">
        <v>395</v>
      </c>
      <c r="B22" t="s">
        <v>33</v>
      </c>
      <c r="C22" t="s">
        <v>40</v>
      </c>
      <c r="D22">
        <v>-0.76580789500000002</v>
      </c>
      <c r="E22">
        <v>-0.114997814</v>
      </c>
      <c r="F22">
        <v>-0.28527186548946204</v>
      </c>
      <c r="G22">
        <v>-0.88080570899999999</v>
      </c>
      <c r="H22">
        <v>0.29301084399999999</v>
      </c>
      <c r="I22">
        <f t="shared" si="0"/>
        <v>-1.166077574489462</v>
      </c>
      <c r="J22">
        <f t="shared" si="1"/>
        <v>0.23756471277049379</v>
      </c>
      <c r="K22">
        <v>-0.95194763900000001</v>
      </c>
      <c r="L22">
        <v>-0.119278674</v>
      </c>
      <c r="M22">
        <v>-0.3346834104896344</v>
      </c>
      <c r="N22">
        <v>-1.0712263129999999</v>
      </c>
      <c r="O22">
        <v>0.25516994300000001</v>
      </c>
      <c r="P22">
        <f t="shared" si="2"/>
        <v>-1.4059097234896343</v>
      </c>
      <c r="Q22">
        <f t="shared" si="3"/>
        <v>0.19688000202562725</v>
      </c>
      <c r="R22">
        <f>+AVERAGE(O22,H22)</f>
        <v>0.27409039349999997</v>
      </c>
      <c r="S22">
        <f>+AVERAGE(E22,L22)</f>
        <v>-0.117138244</v>
      </c>
      <c r="T22">
        <f>+AVERAGE(G22,N22)</f>
        <v>-0.97601601100000002</v>
      </c>
      <c r="U22" s="1">
        <v>9.3399999999999998E-31</v>
      </c>
      <c r="V22">
        <v>1</v>
      </c>
      <c r="W22" s="1">
        <v>1.3500000000000001E-34</v>
      </c>
      <c r="X22" s="1">
        <v>2.7299999999999999E-32</v>
      </c>
    </row>
    <row r="23" spans="1:24" x14ac:dyDescent="0.25">
      <c r="A23" t="s">
        <v>395</v>
      </c>
      <c r="B23" t="s">
        <v>65</v>
      </c>
      <c r="C23" t="s">
        <v>261</v>
      </c>
      <c r="D23">
        <v>-0.76580789500000002</v>
      </c>
      <c r="E23">
        <v>-0.43517018200000002</v>
      </c>
      <c r="F23">
        <v>-0.24178949960145765</v>
      </c>
      <c r="G23">
        <v>-1.2009780759999999</v>
      </c>
      <c r="H23">
        <v>0.231301268</v>
      </c>
      <c r="I23">
        <f t="shared" si="0"/>
        <v>-1.4427675766014576</v>
      </c>
      <c r="J23">
        <f t="shared" si="1"/>
        <v>0.19111713929556556</v>
      </c>
      <c r="K23">
        <v>-0.95194763900000001</v>
      </c>
      <c r="L23">
        <v>-0.54433600000000004</v>
      </c>
      <c r="M23">
        <v>0.1024183081098506</v>
      </c>
      <c r="N23">
        <v>-1.4962836399999999</v>
      </c>
      <c r="O23">
        <v>0.18298046000000001</v>
      </c>
      <c r="P23">
        <f t="shared" si="2"/>
        <v>-1.3938653308901494</v>
      </c>
      <c r="Q23">
        <f t="shared" si="3"/>
        <v>0.19879139570179277</v>
      </c>
      <c r="R23">
        <f>+AVERAGE(O23,H23)</f>
        <v>0.20714086400000001</v>
      </c>
      <c r="S23">
        <f>+AVERAGE(E23,L23)</f>
        <v>-0.48975309100000003</v>
      </c>
      <c r="T23">
        <f>+AVERAGE(G23,N23)</f>
        <v>-1.3486308579999999</v>
      </c>
      <c r="U23">
        <v>0.99995532200000004</v>
      </c>
      <c r="V23" s="1">
        <v>2.8400000000000002E-25</v>
      </c>
      <c r="W23">
        <v>4.4700000000000002E-5</v>
      </c>
      <c r="X23" s="1">
        <v>3.3299999999999999E-9</v>
      </c>
    </row>
    <row r="24" spans="1:24" x14ac:dyDescent="0.25">
      <c r="A24" t="s">
        <v>395</v>
      </c>
      <c r="B24" t="s">
        <v>42</v>
      </c>
      <c r="C24" t="s">
        <v>143</v>
      </c>
      <c r="D24">
        <v>-0.76580789500000002</v>
      </c>
      <c r="E24">
        <v>0.18943051699999999</v>
      </c>
      <c r="F24">
        <v>-4.9441097480157715E-2</v>
      </c>
      <c r="G24">
        <v>-0.576377378</v>
      </c>
      <c r="H24">
        <v>0.359766584</v>
      </c>
      <c r="I24">
        <f t="shared" si="0"/>
        <v>-0.62581847548015768</v>
      </c>
      <c r="J24">
        <f t="shared" si="1"/>
        <v>0.34845928937472154</v>
      </c>
      <c r="K24">
        <v>-0.95194763900000001</v>
      </c>
      <c r="L24">
        <v>6.4730274000000004E-2</v>
      </c>
      <c r="M24">
        <v>0.143403965745907</v>
      </c>
      <c r="N24">
        <v>-0.88721736500000004</v>
      </c>
      <c r="O24">
        <v>0.29168439899999998</v>
      </c>
      <c r="P24">
        <f t="shared" si="2"/>
        <v>-0.74381339925409307</v>
      </c>
      <c r="Q24">
        <f t="shared" si="3"/>
        <v>0.32217082180479861</v>
      </c>
      <c r="R24">
        <f>+AVERAGE(O24,H24)</f>
        <v>0.32572549149999996</v>
      </c>
      <c r="S24">
        <f>+AVERAGE(E24,L24)</f>
        <v>0.1270803955</v>
      </c>
      <c r="T24">
        <f>+AVERAGE(G24,N24)</f>
        <v>-0.73179737150000002</v>
      </c>
      <c r="U24" s="1">
        <v>6.77E-15</v>
      </c>
      <c r="V24" s="1">
        <v>7.3099999999999998E-35</v>
      </c>
      <c r="W24" s="1">
        <v>6.7199999999999997E-19</v>
      </c>
      <c r="X24">
        <v>1</v>
      </c>
    </row>
    <row r="25" spans="1:24" x14ac:dyDescent="0.25">
      <c r="A25" t="s">
        <v>395</v>
      </c>
      <c r="B25" t="s">
        <v>62</v>
      </c>
      <c r="C25" t="s">
        <v>83</v>
      </c>
      <c r="D25">
        <v>-0.76580789500000002</v>
      </c>
      <c r="E25">
        <v>-0.23791931899999999</v>
      </c>
      <c r="F25">
        <v>0.33310825262365334</v>
      </c>
      <c r="G25">
        <v>-1.0037272129999999</v>
      </c>
      <c r="H25">
        <v>0.26820923800000002</v>
      </c>
      <c r="I25">
        <f t="shared" si="0"/>
        <v>-0.67061896137634669</v>
      </c>
      <c r="J25">
        <f t="shared" si="1"/>
        <v>0.33835825884758802</v>
      </c>
      <c r="K25">
        <v>-0.95194763900000001</v>
      </c>
      <c r="L25">
        <v>-0.31170053800000003</v>
      </c>
      <c r="M25">
        <v>0.5567754477651996</v>
      </c>
      <c r="N25">
        <v>-1.2636481770000001</v>
      </c>
      <c r="O25">
        <v>0.22034651799999999</v>
      </c>
      <c r="P25">
        <f t="shared" si="2"/>
        <v>-0.70687272923480049</v>
      </c>
      <c r="Q25">
        <f t="shared" si="3"/>
        <v>0.33029022057865237</v>
      </c>
      <c r="R25">
        <f>+AVERAGE(O25,H25)</f>
        <v>0.244277878</v>
      </c>
      <c r="S25">
        <f>+AVERAGE(E25,L25)</f>
        <v>-0.27480992850000002</v>
      </c>
      <c r="T25">
        <f>+AVERAGE(G25,N25)</f>
        <v>-1.1336876949999999</v>
      </c>
      <c r="U25" s="1">
        <v>4.19E-17</v>
      </c>
      <c r="V25" s="1">
        <v>1.14E-43</v>
      </c>
      <c r="W25" s="1">
        <v>1.02E-21</v>
      </c>
      <c r="X25">
        <v>1</v>
      </c>
    </row>
    <row r="26" spans="1:24" x14ac:dyDescent="0.25">
      <c r="A26" t="s">
        <v>395</v>
      </c>
      <c r="B26" t="s">
        <v>45</v>
      </c>
      <c r="C26" t="s">
        <v>162</v>
      </c>
      <c r="D26">
        <v>-0.76580789500000002</v>
      </c>
      <c r="E26">
        <v>-4.3547592000000003E-2</v>
      </c>
      <c r="F26">
        <v>-0.58307157706059798</v>
      </c>
      <c r="G26">
        <v>-0.80935548700000004</v>
      </c>
      <c r="H26">
        <v>0.30802785500000002</v>
      </c>
      <c r="I26">
        <f t="shared" si="0"/>
        <v>-1.392427064060598</v>
      </c>
      <c r="J26">
        <f t="shared" si="1"/>
        <v>0.19902057256043906</v>
      </c>
      <c r="K26">
        <v>-0.95194763900000001</v>
      </c>
      <c r="L26">
        <v>-0.21852980399999999</v>
      </c>
      <c r="M26">
        <v>-0.76434299473732881</v>
      </c>
      <c r="N26">
        <v>-1.1704774440000001</v>
      </c>
      <c r="O26">
        <v>0.236768695</v>
      </c>
      <c r="P26">
        <f t="shared" si="2"/>
        <v>-1.9348204377373288</v>
      </c>
      <c r="Q26">
        <f t="shared" si="3"/>
        <v>0.12621798987643584</v>
      </c>
      <c r="R26">
        <f>+AVERAGE(O26,H26)</f>
        <v>0.27239827500000002</v>
      </c>
      <c r="S26">
        <f>+AVERAGE(E26,L26)</f>
        <v>-0.13103869800000001</v>
      </c>
      <c r="T26">
        <f>+AVERAGE(G26,N26)</f>
        <v>-0.98991646550000012</v>
      </c>
      <c r="U26" s="1">
        <v>3.1499999999999998E-14</v>
      </c>
      <c r="V26" s="1">
        <v>2.0600000000000001E-38</v>
      </c>
      <c r="W26" s="1">
        <v>1.89E-17</v>
      </c>
      <c r="X26">
        <v>1</v>
      </c>
    </row>
    <row r="27" spans="1:24" x14ac:dyDescent="0.25">
      <c r="A27" t="s">
        <v>395</v>
      </c>
      <c r="B27" t="s">
        <v>27</v>
      </c>
      <c r="C27" t="s">
        <v>250</v>
      </c>
      <c r="D27">
        <v>-0.76580789500000002</v>
      </c>
      <c r="E27">
        <v>-0.28470833299999998</v>
      </c>
      <c r="F27">
        <v>0.36676956185289034</v>
      </c>
      <c r="G27">
        <v>-1.0505162269999999</v>
      </c>
      <c r="H27">
        <v>0.259125983</v>
      </c>
      <c r="I27">
        <f t="shared" si="0"/>
        <v>-0.68374666614710966</v>
      </c>
      <c r="J27">
        <f t="shared" si="1"/>
        <v>0.33542559919102971</v>
      </c>
      <c r="K27">
        <v>-0.95194763900000001</v>
      </c>
      <c r="L27">
        <v>-0.440399347</v>
      </c>
      <c r="M27">
        <v>0.3511302049154727</v>
      </c>
      <c r="N27">
        <v>-1.392346986</v>
      </c>
      <c r="O27">
        <v>0.199033338</v>
      </c>
      <c r="P27">
        <f t="shared" si="2"/>
        <v>-1.0412167810845272</v>
      </c>
      <c r="Q27">
        <f t="shared" si="3"/>
        <v>0.26091528342709697</v>
      </c>
      <c r="R27">
        <f>+AVERAGE(O27,H27)</f>
        <v>0.2290796605</v>
      </c>
      <c r="S27">
        <f>+AVERAGE(E27,L27)</f>
        <v>-0.36255384000000002</v>
      </c>
      <c r="T27">
        <f>+AVERAGE(G27,N27)</f>
        <v>-1.2214316064999999</v>
      </c>
      <c r="U27">
        <v>0.99968768200000002</v>
      </c>
      <c r="V27" s="1">
        <v>5.5800000000000001E-28</v>
      </c>
      <c r="W27">
        <v>3.1231800000000001E-4</v>
      </c>
      <c r="X27" s="1">
        <v>6.1399999999999997E-18</v>
      </c>
    </row>
    <row r="28" spans="1:24" x14ac:dyDescent="0.25">
      <c r="A28" t="s">
        <v>395</v>
      </c>
      <c r="B28" t="s">
        <v>81</v>
      </c>
      <c r="C28" t="s">
        <v>168</v>
      </c>
      <c r="D28">
        <v>-0.76580789500000002</v>
      </c>
      <c r="E28">
        <v>0.28910890500000003</v>
      </c>
      <c r="F28">
        <v>1.8542134737425525E-2</v>
      </c>
      <c r="G28">
        <v>-0.47669898999999999</v>
      </c>
      <c r="H28">
        <v>0.383031913</v>
      </c>
      <c r="I28">
        <f t="shared" si="0"/>
        <v>-0.45815685526257444</v>
      </c>
      <c r="J28">
        <f t="shared" si="1"/>
        <v>0.38742315999837473</v>
      </c>
      <c r="K28">
        <v>-0.95194763900000001</v>
      </c>
      <c r="L28">
        <v>0.29737073800000002</v>
      </c>
      <c r="M28">
        <v>8.7894785803348752E-2</v>
      </c>
      <c r="N28">
        <v>-0.65457690099999999</v>
      </c>
      <c r="O28">
        <v>0.34195888600000002</v>
      </c>
      <c r="P28">
        <f t="shared" si="2"/>
        <v>-0.56668211519665124</v>
      </c>
      <c r="Q28">
        <f t="shared" si="3"/>
        <v>0.36200276138894494</v>
      </c>
      <c r="R28">
        <f>+AVERAGE(O28,H28)</f>
        <v>0.36249539949999998</v>
      </c>
      <c r="S28">
        <f>+AVERAGE(E28,L28)</f>
        <v>0.29323982150000005</v>
      </c>
      <c r="T28">
        <f>+AVERAGE(G28,N28)</f>
        <v>-0.56563794550000002</v>
      </c>
      <c r="U28" s="1">
        <v>7.8300000000000005E-14</v>
      </c>
      <c r="V28" s="1">
        <v>5.2100000000000002E-31</v>
      </c>
      <c r="W28" s="1">
        <v>1.3399999999999999E-19</v>
      </c>
      <c r="X28">
        <v>1</v>
      </c>
    </row>
    <row r="29" spans="1:24" x14ac:dyDescent="0.25">
      <c r="A29" t="s">
        <v>395</v>
      </c>
      <c r="B29" t="s">
        <v>58</v>
      </c>
      <c r="C29" t="s">
        <v>140</v>
      </c>
      <c r="D29">
        <v>-0.76580789500000002</v>
      </c>
      <c r="E29">
        <v>-0.20319661</v>
      </c>
      <c r="F29">
        <v>6.292627996845801E-2</v>
      </c>
      <c r="G29">
        <v>-0.96900450500000002</v>
      </c>
      <c r="H29">
        <v>0.27507896999999998</v>
      </c>
      <c r="I29">
        <f t="shared" si="0"/>
        <v>-0.90607822503154201</v>
      </c>
      <c r="J29">
        <f t="shared" si="1"/>
        <v>0.28780302361260329</v>
      </c>
      <c r="K29">
        <v>-0.95194763900000001</v>
      </c>
      <c r="L29">
        <v>-0.52834969799999998</v>
      </c>
      <c r="M29">
        <v>0.54289824242765494</v>
      </c>
      <c r="N29">
        <v>-1.4802973370000001</v>
      </c>
      <c r="O29">
        <v>0.185382512</v>
      </c>
      <c r="P29">
        <f t="shared" si="2"/>
        <v>-0.93739909457234516</v>
      </c>
      <c r="Q29">
        <f t="shared" si="3"/>
        <v>0.28142601262076855</v>
      </c>
      <c r="R29">
        <f>+AVERAGE(O29,H29)</f>
        <v>0.23023074099999999</v>
      </c>
      <c r="S29">
        <f>+AVERAGE(E29,L29)</f>
        <v>-0.36577315399999999</v>
      </c>
      <c r="T29">
        <f>+AVERAGE(G29,N29)</f>
        <v>-1.2246509210000001</v>
      </c>
      <c r="U29" s="1">
        <v>5.34E-15</v>
      </c>
      <c r="V29" s="1">
        <v>6.9900000000000006E-39</v>
      </c>
      <c r="W29" s="1">
        <v>4.93E-18</v>
      </c>
      <c r="X29">
        <v>1</v>
      </c>
    </row>
    <row r="30" spans="1:24" x14ac:dyDescent="0.25">
      <c r="A30" t="s">
        <v>395</v>
      </c>
      <c r="B30" t="s">
        <v>31</v>
      </c>
      <c r="C30" t="s">
        <v>116</v>
      </c>
      <c r="D30">
        <v>-0.76580789500000002</v>
      </c>
      <c r="E30">
        <v>-0.21517477199999999</v>
      </c>
      <c r="F30">
        <v>-0.40815884462967861</v>
      </c>
      <c r="G30">
        <v>-0.98098266700000003</v>
      </c>
      <c r="H30">
        <v>0.27269684500000002</v>
      </c>
      <c r="I30">
        <f t="shared" si="0"/>
        <v>-1.3891415116296786</v>
      </c>
      <c r="J30">
        <f t="shared" si="1"/>
        <v>0.19954484499434311</v>
      </c>
      <c r="K30">
        <v>-0.95194763900000001</v>
      </c>
      <c r="L30">
        <v>-0.70372486199999995</v>
      </c>
      <c r="M30">
        <v>-0.66911011404127352</v>
      </c>
      <c r="N30">
        <v>-1.655672502</v>
      </c>
      <c r="O30">
        <v>0.160343768</v>
      </c>
      <c r="P30">
        <f t="shared" si="2"/>
        <v>-2.3247826150412734</v>
      </c>
      <c r="Q30">
        <f t="shared" si="3"/>
        <v>8.909116780386403E-2</v>
      </c>
      <c r="R30">
        <f>+AVERAGE(O30,H30)</f>
        <v>0.21652030650000001</v>
      </c>
      <c r="S30">
        <f>+AVERAGE(E30,L30)</f>
        <v>-0.45944981699999998</v>
      </c>
      <c r="T30">
        <f>+AVERAGE(G30,N30)</f>
        <v>-1.3183275845</v>
      </c>
      <c r="U30" s="1">
        <v>8.8700000000000002E-16</v>
      </c>
      <c r="V30" s="1">
        <v>7.4E-37</v>
      </c>
      <c r="W30" s="1">
        <v>9.8800000000000006E-20</v>
      </c>
      <c r="X30">
        <v>1</v>
      </c>
    </row>
    <row r="31" spans="1:24" x14ac:dyDescent="0.25">
      <c r="A31" t="s">
        <v>395</v>
      </c>
      <c r="B31" t="s">
        <v>38</v>
      </c>
      <c r="C31" t="s">
        <v>170</v>
      </c>
      <c r="D31">
        <v>-0.76580789500000002</v>
      </c>
      <c r="E31">
        <v>-0.10798244799999999</v>
      </c>
      <c r="F31">
        <v>-6.8234224002180349E-2</v>
      </c>
      <c r="G31">
        <v>-0.87379034200000005</v>
      </c>
      <c r="H31">
        <v>0.29446622300000003</v>
      </c>
      <c r="I31">
        <f t="shared" si="0"/>
        <v>-0.9420245670021804</v>
      </c>
      <c r="J31">
        <f t="shared" si="1"/>
        <v>0.28049157094675442</v>
      </c>
      <c r="K31">
        <v>-0.95194763900000001</v>
      </c>
      <c r="L31">
        <v>0.11199429900000001</v>
      </c>
      <c r="M31">
        <v>0.23599397861893998</v>
      </c>
      <c r="N31">
        <v>-0.83995333999999999</v>
      </c>
      <c r="O31">
        <v>0.30154461100000002</v>
      </c>
      <c r="P31">
        <f t="shared" si="2"/>
        <v>-0.60395936138105999</v>
      </c>
      <c r="Q31">
        <f t="shared" si="3"/>
        <v>0.35343837757187457</v>
      </c>
      <c r="R31">
        <f>+AVERAGE(O31,H31)</f>
        <v>0.29800541700000005</v>
      </c>
      <c r="S31">
        <f>+AVERAGE(E31,L31)</f>
        <v>2.0059255000000054E-3</v>
      </c>
      <c r="T31">
        <f>+AVERAGE(G31,N31)</f>
        <v>-0.85687184100000002</v>
      </c>
      <c r="U31" s="1">
        <v>8.3099999999999994E-14</v>
      </c>
      <c r="V31" s="1">
        <v>1.5199999999999999E-35</v>
      </c>
      <c r="W31" s="1">
        <v>1.33E-18</v>
      </c>
      <c r="X31">
        <v>1</v>
      </c>
    </row>
    <row r="32" spans="1:24" x14ac:dyDescent="0.25">
      <c r="A32" t="s">
        <v>395</v>
      </c>
      <c r="B32" t="s">
        <v>81</v>
      </c>
      <c r="C32" t="s">
        <v>141</v>
      </c>
      <c r="D32">
        <v>-0.76580789500000002</v>
      </c>
      <c r="E32">
        <v>0.28599122399999999</v>
      </c>
      <c r="F32">
        <v>1.8542134737425525E-2</v>
      </c>
      <c r="G32">
        <v>-0.47981667</v>
      </c>
      <c r="H32">
        <v>0.38229541700000003</v>
      </c>
      <c r="I32">
        <f t="shared" si="0"/>
        <v>-0.46127453626257453</v>
      </c>
      <c r="J32">
        <f t="shared" si="1"/>
        <v>0.3866835120183057</v>
      </c>
      <c r="K32">
        <v>-0.95194763900000001</v>
      </c>
      <c r="L32">
        <v>0.38748934600000001</v>
      </c>
      <c r="M32">
        <v>8.7894785803348752E-2</v>
      </c>
      <c r="N32">
        <v>-0.56445829300000006</v>
      </c>
      <c r="O32">
        <v>0.36251652600000001</v>
      </c>
      <c r="P32">
        <f t="shared" si="2"/>
        <v>-0.47656350719665119</v>
      </c>
      <c r="Q32">
        <f t="shared" si="3"/>
        <v>0.38306393065381594</v>
      </c>
      <c r="R32">
        <f>+AVERAGE(O32,H32)</f>
        <v>0.37240597149999999</v>
      </c>
      <c r="S32">
        <f>+AVERAGE(E32,L32)</f>
        <v>0.33674028499999997</v>
      </c>
      <c r="T32">
        <f>+AVERAGE(G32,N32)</f>
        <v>-0.52213748150000006</v>
      </c>
      <c r="U32" s="1">
        <v>5.34E-15</v>
      </c>
      <c r="V32" s="1">
        <v>6.2200000000000004E-36</v>
      </c>
      <c r="W32" s="1">
        <v>2.93E-21</v>
      </c>
      <c r="X32">
        <v>1</v>
      </c>
    </row>
    <row r="33" spans="1:24" x14ac:dyDescent="0.25">
      <c r="A33" t="s">
        <v>395</v>
      </c>
      <c r="B33" t="s">
        <v>58</v>
      </c>
      <c r="C33" t="s">
        <v>73</v>
      </c>
      <c r="D33">
        <v>-0.76580789500000002</v>
      </c>
      <c r="E33">
        <v>0.160403925</v>
      </c>
      <c r="F33">
        <v>6.292627996845801E-2</v>
      </c>
      <c r="G33">
        <v>-0.60540397000000001</v>
      </c>
      <c r="H33">
        <v>0.35310832599999997</v>
      </c>
      <c r="I33">
        <f t="shared" si="0"/>
        <v>-0.542477690031542</v>
      </c>
      <c r="J33">
        <f t="shared" si="1"/>
        <v>0.3676113968861664</v>
      </c>
      <c r="K33">
        <v>-0.95194763900000001</v>
      </c>
      <c r="L33">
        <v>0.46167994800000001</v>
      </c>
      <c r="M33">
        <v>0.54289824242765494</v>
      </c>
      <c r="N33">
        <v>-0.49026769199999998</v>
      </c>
      <c r="O33">
        <v>0.37983050800000001</v>
      </c>
      <c r="P33">
        <f t="shared" si="2"/>
        <v>5.2630551427654937E-2</v>
      </c>
      <c r="Q33">
        <f t="shared" si="3"/>
        <v>0.51315460150404146</v>
      </c>
      <c r="R33">
        <f>+AVERAGE(O33,H33)</f>
        <v>0.36646941700000002</v>
      </c>
      <c r="S33">
        <f>+AVERAGE(E33,L33)</f>
        <v>0.3110419365</v>
      </c>
      <c r="T33">
        <f>+AVERAGE(G33,N33)</f>
        <v>-0.547835831</v>
      </c>
      <c r="U33" s="1">
        <v>3.1700000000000002E-17</v>
      </c>
      <c r="V33" s="1">
        <v>3.7800000000000002E-41</v>
      </c>
      <c r="W33" s="1">
        <v>5.0199999999999999E-22</v>
      </c>
      <c r="X33">
        <v>1</v>
      </c>
    </row>
    <row r="34" spans="1:24" x14ac:dyDescent="0.25">
      <c r="A34" t="s">
        <v>395</v>
      </c>
      <c r="B34" t="s">
        <v>65</v>
      </c>
      <c r="C34" t="s">
        <v>245</v>
      </c>
      <c r="D34">
        <v>-0.76580789500000002</v>
      </c>
      <c r="E34">
        <v>-6.8185359000000001E-2</v>
      </c>
      <c r="F34">
        <v>-0.24178949960145765</v>
      </c>
      <c r="G34">
        <v>-0.83399325400000002</v>
      </c>
      <c r="H34">
        <v>0.30280138000000001</v>
      </c>
      <c r="I34">
        <f t="shared" si="0"/>
        <v>-1.0757827536014577</v>
      </c>
      <c r="J34">
        <f t="shared" si="1"/>
        <v>0.2543049206884429</v>
      </c>
      <c r="K34">
        <v>-0.95194763900000001</v>
      </c>
      <c r="L34">
        <v>-9.8402667999999999E-2</v>
      </c>
      <c r="M34">
        <v>0.1024183081098506</v>
      </c>
      <c r="N34">
        <v>-1.050350307</v>
      </c>
      <c r="O34">
        <v>0.25915783799999997</v>
      </c>
      <c r="P34">
        <f t="shared" si="2"/>
        <v>-0.94793199889014934</v>
      </c>
      <c r="Q34">
        <f t="shared" si="3"/>
        <v>0.27930090381771361</v>
      </c>
      <c r="R34">
        <f>+AVERAGE(O34,H34)</f>
        <v>0.28097960899999996</v>
      </c>
      <c r="S34">
        <f>+AVERAGE(E34,L34)</f>
        <v>-8.32940135E-2</v>
      </c>
      <c r="T34">
        <f>+AVERAGE(G34,N34)</f>
        <v>-0.94217178050000006</v>
      </c>
      <c r="U34">
        <v>0.99951347400000001</v>
      </c>
      <c r="V34" s="1">
        <v>1.3899999999999999E-19</v>
      </c>
      <c r="W34">
        <v>4.8640199999999998E-4</v>
      </c>
      <c r="X34">
        <v>1.24E-7</v>
      </c>
    </row>
    <row r="35" spans="1:24" x14ac:dyDescent="0.25">
      <c r="A35" t="s">
        <v>395</v>
      </c>
      <c r="B35" t="s">
        <v>78</v>
      </c>
      <c r="C35" t="s">
        <v>127</v>
      </c>
      <c r="D35">
        <v>-0.76580789500000002</v>
      </c>
      <c r="E35">
        <v>0.17783332499999999</v>
      </c>
      <c r="F35">
        <v>-0.4387057682465787</v>
      </c>
      <c r="G35">
        <v>-0.587974569</v>
      </c>
      <c r="H35">
        <v>0.35709971699999998</v>
      </c>
      <c r="I35">
        <f t="shared" si="0"/>
        <v>-1.0266803382465788</v>
      </c>
      <c r="J35">
        <f t="shared" si="1"/>
        <v>0.26372819581409701</v>
      </c>
      <c r="K35">
        <v>-0.95194763900000001</v>
      </c>
      <c r="L35">
        <v>0.21712136900000001</v>
      </c>
      <c r="M35">
        <v>-0.76684157506166817</v>
      </c>
      <c r="N35">
        <v>-0.73482627</v>
      </c>
      <c r="O35">
        <v>0.32413652999999998</v>
      </c>
      <c r="P35">
        <f t="shared" si="2"/>
        <v>-1.5016678450616681</v>
      </c>
      <c r="Q35">
        <f t="shared" si="3"/>
        <v>0.18217690237651324</v>
      </c>
      <c r="R35">
        <f>+AVERAGE(O35,H35)</f>
        <v>0.34061812349999998</v>
      </c>
      <c r="S35">
        <f>+AVERAGE(E35,L35)</f>
        <v>0.197477347</v>
      </c>
      <c r="T35">
        <f>+AVERAGE(G35,N35)</f>
        <v>-0.66140041950000006</v>
      </c>
      <c r="U35" s="1">
        <v>2.3199999999999998E-15</v>
      </c>
      <c r="V35" s="1">
        <v>7.9400000000000006E-33</v>
      </c>
      <c r="W35" s="1">
        <v>5.5099999999999997E-21</v>
      </c>
      <c r="X35">
        <v>1</v>
      </c>
    </row>
    <row r="36" spans="1:24" x14ac:dyDescent="0.25">
      <c r="A36" t="s">
        <v>395</v>
      </c>
      <c r="B36" t="s">
        <v>62</v>
      </c>
      <c r="C36" t="s">
        <v>218</v>
      </c>
      <c r="D36">
        <v>-0.76580789500000002</v>
      </c>
      <c r="E36">
        <v>8.0591193000000005E-2</v>
      </c>
      <c r="F36">
        <v>0.33310825262365334</v>
      </c>
      <c r="G36">
        <v>-0.68521670199999996</v>
      </c>
      <c r="H36">
        <v>0.33509798499999999</v>
      </c>
      <c r="I36">
        <f t="shared" si="0"/>
        <v>-0.35210844937634661</v>
      </c>
      <c r="J36">
        <f t="shared" si="1"/>
        <v>0.4128712211505699</v>
      </c>
      <c r="K36">
        <v>-0.95194763900000001</v>
      </c>
      <c r="L36">
        <v>0.222510029</v>
      </c>
      <c r="M36">
        <v>0.5567754477651996</v>
      </c>
      <c r="N36">
        <v>-0.72943760999999996</v>
      </c>
      <c r="O36">
        <v>0.32531815200000003</v>
      </c>
      <c r="P36">
        <f t="shared" si="2"/>
        <v>-0.17266216223480035</v>
      </c>
      <c r="Q36">
        <f t="shared" si="3"/>
        <v>0.45694137909215576</v>
      </c>
      <c r="R36">
        <f>+AVERAGE(O36,H36)</f>
        <v>0.33020806850000001</v>
      </c>
      <c r="S36">
        <f>+AVERAGE(E36,L36)</f>
        <v>0.151550611</v>
      </c>
      <c r="T36">
        <f>+AVERAGE(G36,N36)</f>
        <v>-0.70732715599999996</v>
      </c>
      <c r="U36">
        <v>0.27559173599999998</v>
      </c>
      <c r="V36" s="1">
        <v>2.17E-22</v>
      </c>
      <c r="W36">
        <v>0.72440152899999999</v>
      </c>
      <c r="X36">
        <v>6.7399999999999998E-6</v>
      </c>
    </row>
    <row r="37" spans="1:24" x14ac:dyDescent="0.25">
      <c r="A37" t="s">
        <v>395</v>
      </c>
      <c r="B37" t="s">
        <v>27</v>
      </c>
      <c r="C37" t="s">
        <v>194</v>
      </c>
      <c r="D37">
        <v>-0.76580789500000002</v>
      </c>
      <c r="E37">
        <v>0.11575914499999999</v>
      </c>
      <c r="F37">
        <v>0.36676956185289034</v>
      </c>
      <c r="G37">
        <v>-0.65004874899999998</v>
      </c>
      <c r="H37">
        <v>0.34297855199999999</v>
      </c>
      <c r="I37">
        <f t="shared" si="0"/>
        <v>-0.28327918814710973</v>
      </c>
      <c r="J37">
        <f t="shared" si="1"/>
        <v>0.42965002341891584</v>
      </c>
      <c r="K37">
        <v>-0.95194763900000001</v>
      </c>
      <c r="L37">
        <v>0.165178143</v>
      </c>
      <c r="M37">
        <v>0.3511302049154727</v>
      </c>
      <c r="N37">
        <v>-0.78676949600000001</v>
      </c>
      <c r="O37">
        <v>0.31286274200000003</v>
      </c>
      <c r="P37">
        <f t="shared" si="2"/>
        <v>-0.43563929108452731</v>
      </c>
      <c r="Q37">
        <f t="shared" si="3"/>
        <v>0.39278052801043928</v>
      </c>
      <c r="R37">
        <f>+AVERAGE(O37,H37)</f>
        <v>0.32792064700000001</v>
      </c>
      <c r="S37">
        <f>+AVERAGE(E37,L37)</f>
        <v>0.140468644</v>
      </c>
      <c r="T37">
        <f>+AVERAGE(G37,N37)</f>
        <v>-0.7184091225</v>
      </c>
      <c r="U37" s="1">
        <v>3.6600000000000002E-12</v>
      </c>
      <c r="V37" s="1">
        <v>4.02E-35</v>
      </c>
      <c r="W37" s="1">
        <v>4.4700000000000001E-18</v>
      </c>
      <c r="X37">
        <v>1</v>
      </c>
    </row>
    <row r="38" spans="1:24" x14ac:dyDescent="0.25">
      <c r="A38" t="s">
        <v>395</v>
      </c>
      <c r="B38" t="s">
        <v>42</v>
      </c>
      <c r="C38" t="s">
        <v>255</v>
      </c>
      <c r="D38">
        <v>-0.76580789500000002</v>
      </c>
      <c r="E38">
        <v>-8.5931831E-2</v>
      </c>
      <c r="F38">
        <v>-4.9441097480157715E-2</v>
      </c>
      <c r="G38">
        <v>-0.85173972600000003</v>
      </c>
      <c r="H38">
        <v>0.29906803799999998</v>
      </c>
      <c r="I38">
        <f t="shared" si="0"/>
        <v>-0.90118082348015771</v>
      </c>
      <c r="J38">
        <f t="shared" si="1"/>
        <v>0.28880789824511377</v>
      </c>
      <c r="K38">
        <v>-0.95194763900000001</v>
      </c>
      <c r="L38">
        <v>-9.8365980000000006E-2</v>
      </c>
      <c r="M38">
        <v>0.143403965745907</v>
      </c>
      <c r="N38">
        <v>-1.0503136200000001</v>
      </c>
      <c r="O38">
        <v>0.25916488199999999</v>
      </c>
      <c r="P38">
        <f t="shared" si="2"/>
        <v>-0.90690965325409301</v>
      </c>
      <c r="Q38">
        <f t="shared" si="3"/>
        <v>0.28763263380957299</v>
      </c>
      <c r="R38">
        <f>+AVERAGE(O38,H38)</f>
        <v>0.27911646000000001</v>
      </c>
      <c r="S38">
        <f>+AVERAGE(E38,L38)</f>
        <v>-9.2148905500000003E-2</v>
      </c>
      <c r="T38">
        <f>+AVERAGE(G38,N38)</f>
        <v>-0.9510266730000001</v>
      </c>
      <c r="U38">
        <v>0.99982052499999996</v>
      </c>
      <c r="V38" s="1">
        <v>1.76E-20</v>
      </c>
      <c r="W38">
        <v>1.7931199999999999E-4</v>
      </c>
      <c r="X38">
        <v>1.6299999999999999E-7</v>
      </c>
    </row>
    <row r="39" spans="1:24" x14ac:dyDescent="0.25">
      <c r="A39" t="s">
        <v>395</v>
      </c>
      <c r="B39" t="s">
        <v>78</v>
      </c>
      <c r="C39" t="s">
        <v>239</v>
      </c>
      <c r="D39">
        <v>-0.76580789500000002</v>
      </c>
      <c r="E39">
        <v>-0.51657366100000002</v>
      </c>
      <c r="F39">
        <v>-0.4387057682465787</v>
      </c>
      <c r="G39">
        <v>-1.282381556</v>
      </c>
      <c r="H39">
        <v>0.21714510300000001</v>
      </c>
      <c r="I39">
        <f t="shared" si="0"/>
        <v>-1.7210873242465787</v>
      </c>
      <c r="J39">
        <f t="shared" si="1"/>
        <v>0.15173116243739329</v>
      </c>
      <c r="K39">
        <v>-0.95194763900000001</v>
      </c>
      <c r="L39">
        <v>-0.78162368299999996</v>
      </c>
      <c r="M39">
        <v>-0.76684157506166817</v>
      </c>
      <c r="N39">
        <v>-1.733571322</v>
      </c>
      <c r="O39">
        <v>0.150131338</v>
      </c>
      <c r="P39">
        <f t="shared" si="2"/>
        <v>-2.5004128970616684</v>
      </c>
      <c r="Q39">
        <f t="shared" si="3"/>
        <v>7.5829239471350313E-2</v>
      </c>
      <c r="R39">
        <f>+AVERAGE(O39,H39)</f>
        <v>0.1836382205</v>
      </c>
      <c r="S39">
        <f>+AVERAGE(E39,L39)</f>
        <v>-0.64909867200000004</v>
      </c>
      <c r="T39">
        <f>+AVERAGE(G39,N39)</f>
        <v>-1.5079764390000001</v>
      </c>
      <c r="U39">
        <v>0.99899626799999997</v>
      </c>
      <c r="V39" s="1">
        <v>2.36E-13</v>
      </c>
      <c r="W39">
        <v>1.003732E-3</v>
      </c>
      <c r="X39" s="1">
        <v>9.5800000000000006E-14</v>
      </c>
    </row>
    <row r="40" spans="1:24" x14ac:dyDescent="0.25">
      <c r="A40" t="s">
        <v>395</v>
      </c>
      <c r="B40" t="s">
        <v>29</v>
      </c>
      <c r="C40" t="s">
        <v>132</v>
      </c>
      <c r="D40">
        <v>-0.76580789500000002</v>
      </c>
      <c r="E40">
        <v>-0.129206722</v>
      </c>
      <c r="F40">
        <v>0.20639898313457225</v>
      </c>
      <c r="G40">
        <v>-0.89501461699999996</v>
      </c>
      <c r="H40">
        <v>0.29007607200000002</v>
      </c>
      <c r="I40">
        <f t="shared" si="0"/>
        <v>-0.68861563386542768</v>
      </c>
      <c r="J40">
        <f t="shared" si="1"/>
        <v>0.3343411031113222</v>
      </c>
      <c r="K40">
        <v>-0.95194763900000001</v>
      </c>
      <c r="L40">
        <v>-8.8914592000000001E-2</v>
      </c>
      <c r="M40">
        <v>0.1319356394463834</v>
      </c>
      <c r="N40">
        <v>-1.040862231</v>
      </c>
      <c r="O40">
        <v>0.26098366000000001</v>
      </c>
      <c r="P40">
        <f t="shared" si="2"/>
        <v>-0.90892659155361655</v>
      </c>
      <c r="Q40">
        <f t="shared" si="3"/>
        <v>0.28721954002799593</v>
      </c>
      <c r="R40">
        <f>+AVERAGE(O40,H40)</f>
        <v>0.27552986600000001</v>
      </c>
      <c r="S40">
        <f>+AVERAGE(E40,L40)</f>
        <v>-0.10906065700000001</v>
      </c>
      <c r="T40">
        <f>+AVERAGE(G40,N40)</f>
        <v>-0.96793842399999996</v>
      </c>
      <c r="U40" s="1">
        <v>3.64E-15</v>
      </c>
      <c r="V40" s="1">
        <v>7.2600000000000006E-39</v>
      </c>
      <c r="W40" s="1">
        <v>4.9199999999999996E-19</v>
      </c>
      <c r="X40">
        <v>1</v>
      </c>
    </row>
    <row r="41" spans="1:24" x14ac:dyDescent="0.25">
      <c r="A41" t="s">
        <v>395</v>
      </c>
      <c r="B41" t="s">
        <v>38</v>
      </c>
      <c r="C41" t="s">
        <v>114</v>
      </c>
      <c r="D41">
        <v>-0.76580789500000002</v>
      </c>
      <c r="E41">
        <v>-0.249017135</v>
      </c>
      <c r="F41">
        <v>-6.8234224002180349E-2</v>
      </c>
      <c r="G41">
        <v>-1.014825029</v>
      </c>
      <c r="H41">
        <v>0.26603664700000001</v>
      </c>
      <c r="I41">
        <f t="shared" si="0"/>
        <v>-1.0830592540021802</v>
      </c>
      <c r="J41">
        <f t="shared" si="1"/>
        <v>0.25292751793395468</v>
      </c>
      <c r="K41">
        <v>-0.95194763900000001</v>
      </c>
      <c r="L41">
        <v>-0.45557595499999998</v>
      </c>
      <c r="M41">
        <v>0.23599397861893998</v>
      </c>
      <c r="N41">
        <v>-1.4075235939999999</v>
      </c>
      <c r="O41">
        <v>0.196624944</v>
      </c>
      <c r="P41">
        <f t="shared" si="2"/>
        <v>-1.1715296153810599</v>
      </c>
      <c r="Q41">
        <f t="shared" si="3"/>
        <v>0.23657861040007541</v>
      </c>
      <c r="R41">
        <f>+AVERAGE(O41,H41)</f>
        <v>0.23133079550000002</v>
      </c>
      <c r="S41">
        <f>+AVERAGE(E41,L41)</f>
        <v>-0.35229654499999996</v>
      </c>
      <c r="T41">
        <f>+AVERAGE(G41,N41)</f>
        <v>-1.2111743115</v>
      </c>
      <c r="U41" s="1">
        <v>7.6399999999999999E-16</v>
      </c>
      <c r="V41" s="1">
        <v>6.7999999999999998E-39</v>
      </c>
      <c r="W41" s="1">
        <v>1.6900000000000001E-20</v>
      </c>
      <c r="X41">
        <v>1</v>
      </c>
    </row>
    <row r="42" spans="1:24" x14ac:dyDescent="0.25">
      <c r="A42" t="s">
        <v>395</v>
      </c>
      <c r="B42" t="s">
        <v>31</v>
      </c>
      <c r="C42" t="s">
        <v>167</v>
      </c>
      <c r="D42">
        <v>-0.76580789500000002</v>
      </c>
      <c r="E42">
        <v>0.33002503</v>
      </c>
      <c r="F42">
        <v>-0.40815884462967861</v>
      </c>
      <c r="G42">
        <v>-0.43578286500000002</v>
      </c>
      <c r="H42">
        <v>0.392746286</v>
      </c>
      <c r="I42">
        <f t="shared" si="0"/>
        <v>-0.84394170962967863</v>
      </c>
      <c r="J42">
        <f t="shared" si="1"/>
        <v>0.30070526439181156</v>
      </c>
      <c r="K42">
        <v>-0.95194763900000001</v>
      </c>
      <c r="L42">
        <v>0.30592339699999999</v>
      </c>
      <c r="M42">
        <v>-0.66911011404127352</v>
      </c>
      <c r="N42">
        <v>-0.64602424300000005</v>
      </c>
      <c r="O42">
        <v>0.34388602400000001</v>
      </c>
      <c r="P42">
        <f t="shared" si="2"/>
        <v>-1.3151343560412734</v>
      </c>
      <c r="Q42">
        <f t="shared" si="3"/>
        <v>0.21162894887436928</v>
      </c>
      <c r="R42">
        <f>+AVERAGE(O42,H42)</f>
        <v>0.36831615500000003</v>
      </c>
      <c r="S42">
        <f>+AVERAGE(E42,L42)</f>
        <v>0.31797421349999999</v>
      </c>
      <c r="T42">
        <f>+AVERAGE(G42,N42)</f>
        <v>-0.54090355400000001</v>
      </c>
      <c r="U42" s="1">
        <v>6.4700000000000005E-14</v>
      </c>
      <c r="V42" s="1">
        <v>3.3499999999999998E-36</v>
      </c>
      <c r="W42" s="1">
        <v>6.6299999999999998E-20</v>
      </c>
      <c r="X42">
        <v>1</v>
      </c>
    </row>
    <row r="43" spans="1:24" x14ac:dyDescent="0.25">
      <c r="A43" t="s">
        <v>395</v>
      </c>
      <c r="B43" t="s">
        <v>38</v>
      </c>
      <c r="C43" t="s">
        <v>240</v>
      </c>
      <c r="D43">
        <v>-0.76580789500000002</v>
      </c>
      <c r="E43">
        <v>0.216709504</v>
      </c>
      <c r="F43">
        <v>-6.8234224002180349E-2</v>
      </c>
      <c r="G43">
        <v>-0.54909839100000002</v>
      </c>
      <c r="H43">
        <v>0.36607361399999999</v>
      </c>
      <c r="I43">
        <f t="shared" si="0"/>
        <v>-0.6173326150021804</v>
      </c>
      <c r="J43">
        <f t="shared" si="1"/>
        <v>0.35038834931832319</v>
      </c>
      <c r="K43">
        <v>-0.95194763900000001</v>
      </c>
      <c r="L43">
        <v>0.37976249000000001</v>
      </c>
      <c r="M43">
        <v>0.23599397861893998</v>
      </c>
      <c r="N43">
        <v>-0.57218514899999995</v>
      </c>
      <c r="O43">
        <v>0.36073276599999998</v>
      </c>
      <c r="P43">
        <f t="shared" si="2"/>
        <v>-0.33619117038106006</v>
      </c>
      <c r="Q43">
        <f t="shared" si="3"/>
        <v>0.41673498297748263</v>
      </c>
      <c r="R43">
        <f>+AVERAGE(O43,H43)</f>
        <v>0.36340318999999999</v>
      </c>
      <c r="S43">
        <f>+AVERAGE(E43,L43)</f>
        <v>0.29823599700000003</v>
      </c>
      <c r="T43">
        <f>+AVERAGE(G43,N43)</f>
        <v>-0.56064176999999993</v>
      </c>
      <c r="U43">
        <v>0.99912825299999997</v>
      </c>
      <c r="V43" s="1">
        <v>1.75E-23</v>
      </c>
      <c r="W43">
        <v>8.6279599999999998E-4</v>
      </c>
      <c r="X43">
        <v>8.9500000000000007E-6</v>
      </c>
    </row>
    <row r="44" spans="1:24" x14ac:dyDescent="0.25">
      <c r="A44" t="s">
        <v>395</v>
      </c>
      <c r="B44" t="s">
        <v>62</v>
      </c>
      <c r="C44" t="s">
        <v>115</v>
      </c>
      <c r="D44">
        <v>-0.76580789500000002</v>
      </c>
      <c r="E44">
        <v>0.122744254</v>
      </c>
      <c r="F44">
        <v>0.33310825262365334</v>
      </c>
      <c r="G44">
        <v>-0.64306364100000002</v>
      </c>
      <c r="H44">
        <v>0.34455432800000002</v>
      </c>
      <c r="I44">
        <f t="shared" si="0"/>
        <v>-0.30995538837634667</v>
      </c>
      <c r="J44">
        <f t="shared" si="1"/>
        <v>0.42312562809658888</v>
      </c>
      <c r="K44">
        <v>-0.95194763900000001</v>
      </c>
      <c r="L44">
        <v>7.8785211999999993E-2</v>
      </c>
      <c r="M44">
        <v>0.5567754477651996</v>
      </c>
      <c r="N44">
        <v>-0.87316242799999999</v>
      </c>
      <c r="O44">
        <v>0.29459669300000002</v>
      </c>
      <c r="P44">
        <f t="shared" si="2"/>
        <v>-0.31638697923480041</v>
      </c>
      <c r="Q44">
        <f t="shared" si="3"/>
        <v>0.42155652016975287</v>
      </c>
      <c r="R44">
        <f>+AVERAGE(O44,H44)</f>
        <v>0.31957551049999999</v>
      </c>
      <c r="S44">
        <f>+AVERAGE(E44,L44)</f>
        <v>0.100764733</v>
      </c>
      <c r="T44">
        <f>+AVERAGE(G44,N44)</f>
        <v>-0.7581130345</v>
      </c>
      <c r="U44" s="1">
        <v>8.8E-16</v>
      </c>
      <c r="V44" s="1">
        <v>5.1700000000000005E-35</v>
      </c>
      <c r="W44" s="1">
        <v>5.6500000000000002E-13</v>
      </c>
      <c r="X44">
        <v>1</v>
      </c>
    </row>
    <row r="45" spans="1:24" x14ac:dyDescent="0.25">
      <c r="A45" t="s">
        <v>395</v>
      </c>
      <c r="B45" t="s">
        <v>35</v>
      </c>
      <c r="C45" t="s">
        <v>47</v>
      </c>
      <c r="D45">
        <v>-0.76580789500000002</v>
      </c>
      <c r="E45">
        <v>-0.24700471299999999</v>
      </c>
      <c r="F45">
        <v>0</v>
      </c>
      <c r="G45">
        <v>-1.0128126079999999</v>
      </c>
      <c r="H45">
        <v>0.26642978</v>
      </c>
      <c r="I45">
        <f t="shared" si="0"/>
        <v>-1.0128126079999999</v>
      </c>
      <c r="J45">
        <f t="shared" si="1"/>
        <v>0.26642977972317267</v>
      </c>
      <c r="K45">
        <v>-0.95194763900000001</v>
      </c>
      <c r="L45">
        <v>-0.119093058</v>
      </c>
      <c r="M45">
        <v>0</v>
      </c>
      <c r="N45">
        <v>-1.071040698</v>
      </c>
      <c r="O45">
        <v>0.25520522299999998</v>
      </c>
      <c r="P45">
        <f t="shared" si="2"/>
        <v>-1.0710406969999999</v>
      </c>
      <c r="Q45">
        <f t="shared" si="3"/>
        <v>0.25520522276341068</v>
      </c>
      <c r="R45">
        <f>+AVERAGE(O45,H45)</f>
        <v>0.26081750149999999</v>
      </c>
      <c r="S45">
        <f>+AVERAGE(E45,L45)</f>
        <v>-0.18304888549999998</v>
      </c>
      <c r="T45">
        <f>+AVERAGE(G45,N45)</f>
        <v>-1.041926653</v>
      </c>
      <c r="U45" s="1">
        <v>2.8500000000000002E-25</v>
      </c>
      <c r="V45">
        <v>1</v>
      </c>
      <c r="W45" s="1">
        <v>2.4800000000000002E-28</v>
      </c>
      <c r="X45" s="1">
        <v>6.6899999999999996E-28</v>
      </c>
    </row>
    <row r="46" spans="1:24" x14ac:dyDescent="0.25">
      <c r="A46" t="s">
        <v>395</v>
      </c>
      <c r="B46" t="s">
        <v>35</v>
      </c>
      <c r="C46" t="s">
        <v>36</v>
      </c>
      <c r="D46">
        <v>-0.76580789500000002</v>
      </c>
      <c r="E46">
        <v>-0.87175937299999995</v>
      </c>
      <c r="F46">
        <v>0</v>
      </c>
      <c r="G46">
        <v>-1.637567268</v>
      </c>
      <c r="H46">
        <v>0.162796357</v>
      </c>
      <c r="I46">
        <f t="shared" si="0"/>
        <v>-1.637567268</v>
      </c>
      <c r="J46">
        <f t="shared" si="1"/>
        <v>0.1627963567006509</v>
      </c>
      <c r="K46">
        <v>-0.95194763900000001</v>
      </c>
      <c r="L46">
        <v>-0.877199387</v>
      </c>
      <c r="M46">
        <v>0</v>
      </c>
      <c r="N46">
        <v>-1.829147026</v>
      </c>
      <c r="O46">
        <v>0.13833991800000001</v>
      </c>
      <c r="P46">
        <f t="shared" si="2"/>
        <v>-1.829147026</v>
      </c>
      <c r="Q46">
        <f t="shared" si="3"/>
        <v>0.13833991800428885</v>
      </c>
      <c r="R46">
        <f>+AVERAGE(O46,H46)</f>
        <v>0.1505681375</v>
      </c>
      <c r="S46">
        <f>+AVERAGE(E46,L46)</f>
        <v>-0.87447937999999992</v>
      </c>
      <c r="T46">
        <f>+AVERAGE(G46,N46)</f>
        <v>-1.733357147</v>
      </c>
      <c r="U46" s="1">
        <v>3.2899999999999998E-35</v>
      </c>
      <c r="V46">
        <v>1</v>
      </c>
      <c r="W46" s="1">
        <v>9.8500000000000005E-37</v>
      </c>
      <c r="X46" s="1">
        <v>1.03E-43</v>
      </c>
    </row>
    <row r="47" spans="1:24" x14ac:dyDescent="0.25">
      <c r="A47" t="s">
        <v>395</v>
      </c>
      <c r="B47" t="s">
        <v>50</v>
      </c>
      <c r="C47" t="s">
        <v>125</v>
      </c>
      <c r="D47">
        <v>-0.76580789500000002</v>
      </c>
      <c r="E47">
        <v>5.3307838000000003E-2</v>
      </c>
      <c r="F47">
        <v>0.35462276651059182</v>
      </c>
      <c r="G47">
        <v>-0.71250005699999996</v>
      </c>
      <c r="H47">
        <v>0.32904665399999999</v>
      </c>
      <c r="I47">
        <f t="shared" si="0"/>
        <v>-0.35787729048940814</v>
      </c>
      <c r="J47">
        <f t="shared" si="1"/>
        <v>0.41147351100200158</v>
      </c>
      <c r="K47">
        <v>-0.95194763900000001</v>
      </c>
      <c r="L47">
        <v>-0.26017420099999999</v>
      </c>
      <c r="M47">
        <v>0.53261546166894247</v>
      </c>
      <c r="N47">
        <v>-1.2121218410000001</v>
      </c>
      <c r="O47">
        <v>0.22932583100000001</v>
      </c>
      <c r="P47">
        <f t="shared" si="2"/>
        <v>-0.67950637833105754</v>
      </c>
      <c r="Q47">
        <f t="shared" si="3"/>
        <v>0.33637148274079709</v>
      </c>
      <c r="R47">
        <f>+AVERAGE(O47,H47)</f>
        <v>0.27918624250000001</v>
      </c>
      <c r="S47">
        <f>+AVERAGE(E47,L47)</f>
        <v>-0.1034331815</v>
      </c>
      <c r="T47">
        <f>+AVERAGE(G47,N47)</f>
        <v>-0.96231094900000003</v>
      </c>
      <c r="U47" s="1">
        <v>1.9700000000000001E-15</v>
      </c>
      <c r="V47" s="1">
        <v>3.0999999999999998E-38</v>
      </c>
      <c r="W47" s="1">
        <v>8.5700000000000007E-21</v>
      </c>
      <c r="X47">
        <v>1</v>
      </c>
    </row>
    <row r="48" spans="1:24" x14ac:dyDescent="0.25">
      <c r="A48" t="s">
        <v>395</v>
      </c>
      <c r="B48" t="s">
        <v>29</v>
      </c>
      <c r="C48" t="s">
        <v>30</v>
      </c>
      <c r="D48">
        <v>-0.76580789500000002</v>
      </c>
      <c r="E48">
        <v>-0.30063593599999999</v>
      </c>
      <c r="F48">
        <v>0.20639898313457225</v>
      </c>
      <c r="G48">
        <v>-1.066443831</v>
      </c>
      <c r="H48">
        <v>0.25607995700000002</v>
      </c>
      <c r="I48">
        <f t="shared" si="0"/>
        <v>-0.86004484786542768</v>
      </c>
      <c r="J48">
        <f t="shared" si="1"/>
        <v>0.29732997573604142</v>
      </c>
      <c r="K48">
        <v>-0.95194763900000001</v>
      </c>
      <c r="L48">
        <v>-0.73805083800000004</v>
      </c>
      <c r="M48">
        <v>0.1319356394463834</v>
      </c>
      <c r="N48">
        <v>-1.6899984770000001</v>
      </c>
      <c r="O48">
        <v>0.15577604</v>
      </c>
      <c r="P48">
        <f t="shared" si="2"/>
        <v>-1.5580628375536167</v>
      </c>
      <c r="Q48">
        <f t="shared" si="3"/>
        <v>0.17392479297393415</v>
      </c>
      <c r="R48">
        <f>+AVERAGE(O48,H48)</f>
        <v>0.20592799850000001</v>
      </c>
      <c r="S48">
        <f>+AVERAGE(E48,L48)</f>
        <v>-0.51934338700000005</v>
      </c>
      <c r="T48">
        <f>+AVERAGE(G48,N48)</f>
        <v>-1.378221154</v>
      </c>
      <c r="U48" s="1">
        <v>2.3099999999999999E-42</v>
      </c>
      <c r="V48">
        <v>1</v>
      </c>
      <c r="W48" s="1">
        <v>3.8200000000000002E-44</v>
      </c>
      <c r="X48" s="1">
        <v>1.1400000000000001E-50</v>
      </c>
    </row>
    <row r="49" spans="1:24" x14ac:dyDescent="0.25">
      <c r="A49" t="s">
        <v>395</v>
      </c>
      <c r="B49" t="s">
        <v>89</v>
      </c>
      <c r="C49" t="s">
        <v>137</v>
      </c>
      <c r="D49">
        <v>-0.76580789500000002</v>
      </c>
      <c r="E49">
        <v>-8.2911398999999997E-2</v>
      </c>
      <c r="F49">
        <v>0.30158677788175303</v>
      </c>
      <c r="G49">
        <v>-0.84871929400000001</v>
      </c>
      <c r="H49">
        <v>0.29970158400000002</v>
      </c>
      <c r="I49">
        <f t="shared" si="0"/>
        <v>-0.54713251611824698</v>
      </c>
      <c r="J49">
        <f t="shared" si="1"/>
        <v>0.36652994269588551</v>
      </c>
      <c r="K49">
        <v>-0.95194763900000001</v>
      </c>
      <c r="L49">
        <v>-1.3772784999999999E-2</v>
      </c>
      <c r="M49">
        <v>0.31251975382699121</v>
      </c>
      <c r="N49">
        <v>-0.96572042499999999</v>
      </c>
      <c r="O49">
        <v>0.27573433400000003</v>
      </c>
      <c r="P49">
        <f t="shared" si="2"/>
        <v>-0.65320067017300887</v>
      </c>
      <c r="Q49">
        <f t="shared" si="3"/>
        <v>0.34226863651377687</v>
      </c>
      <c r="R49">
        <f>+AVERAGE(O49,H49)</f>
        <v>0.28771795900000002</v>
      </c>
      <c r="S49">
        <f>+AVERAGE(E49,L49)</f>
        <v>-4.8342091999999996E-2</v>
      </c>
      <c r="T49">
        <f>+AVERAGE(G49,N49)</f>
        <v>-0.90721985950000006</v>
      </c>
      <c r="U49" s="1">
        <v>4.4999999999999998E-15</v>
      </c>
      <c r="V49" s="1">
        <v>1.8000000000000001E-42</v>
      </c>
      <c r="W49" s="1">
        <v>3.3999999999999997E-20</v>
      </c>
      <c r="X49">
        <v>1</v>
      </c>
    </row>
    <row r="50" spans="1:24" x14ac:dyDescent="0.25">
      <c r="A50" t="s">
        <v>395</v>
      </c>
      <c r="B50" t="s">
        <v>12</v>
      </c>
      <c r="C50" t="s">
        <v>242</v>
      </c>
      <c r="D50">
        <v>-0.76580789500000002</v>
      </c>
      <c r="E50">
        <v>0.115401723</v>
      </c>
      <c r="F50">
        <v>0.26350859048821873</v>
      </c>
      <c r="G50">
        <v>-0.65040617199999995</v>
      </c>
      <c r="H50">
        <v>0.342898013</v>
      </c>
      <c r="I50">
        <f t="shared" si="0"/>
        <v>-0.38689758151178133</v>
      </c>
      <c r="J50">
        <f t="shared" si="1"/>
        <v>0.40446436735113561</v>
      </c>
      <c r="K50">
        <v>-0.95194763900000001</v>
      </c>
      <c r="L50">
        <v>0.32014608700000002</v>
      </c>
      <c r="M50">
        <v>-1.2208396677130032E-2</v>
      </c>
      <c r="N50">
        <v>-0.63180155199999999</v>
      </c>
      <c r="O50">
        <v>0.347102154</v>
      </c>
      <c r="P50">
        <f t="shared" si="2"/>
        <v>-0.64400994867713002</v>
      </c>
      <c r="Q50">
        <f t="shared" si="3"/>
        <v>0.34434064838354772</v>
      </c>
      <c r="R50">
        <f>+AVERAGE(O50,H50)</f>
        <v>0.3450000835</v>
      </c>
      <c r="S50">
        <f>+AVERAGE(E50,L50)</f>
        <v>0.21777390500000002</v>
      </c>
      <c r="T50">
        <f>+AVERAGE(G50,N50)</f>
        <v>-0.64110386200000002</v>
      </c>
      <c r="U50">
        <v>0.99933348899999996</v>
      </c>
      <c r="V50" s="1">
        <v>2.5599999999999999E-26</v>
      </c>
      <c r="W50">
        <v>6.6650399999999995E-4</v>
      </c>
      <c r="X50" s="1">
        <v>7.4099999999999998E-9</v>
      </c>
    </row>
    <row r="51" spans="1:24" x14ac:dyDescent="0.25">
      <c r="A51" t="s">
        <v>395</v>
      </c>
      <c r="B51" t="s">
        <v>50</v>
      </c>
      <c r="C51" t="s">
        <v>197</v>
      </c>
      <c r="D51">
        <v>-0.76580789500000002</v>
      </c>
      <c r="E51">
        <v>-0.187557997</v>
      </c>
      <c r="F51">
        <v>0.35462276651059182</v>
      </c>
      <c r="G51">
        <v>-0.95336589199999999</v>
      </c>
      <c r="H51">
        <v>0.27820841800000001</v>
      </c>
      <c r="I51">
        <f t="shared" si="0"/>
        <v>-0.59874312548940822</v>
      </c>
      <c r="J51">
        <f t="shared" si="1"/>
        <v>0.35463129946906102</v>
      </c>
      <c r="K51">
        <v>-0.95194763900000001</v>
      </c>
      <c r="L51">
        <v>-7.7134640000000004E-2</v>
      </c>
      <c r="M51">
        <v>0.53261546166894247</v>
      </c>
      <c r="N51">
        <v>-1.0290822799999999</v>
      </c>
      <c r="O51">
        <v>0.26326206200000002</v>
      </c>
      <c r="P51">
        <f t="shared" si="2"/>
        <v>-0.49646681733105757</v>
      </c>
      <c r="Q51">
        <f t="shared" si="3"/>
        <v>0.37837133838389853</v>
      </c>
      <c r="R51">
        <f>+AVERAGE(O51,H51)</f>
        <v>0.27073524000000004</v>
      </c>
      <c r="S51">
        <f>+AVERAGE(E51,L51)</f>
        <v>-0.1323463185</v>
      </c>
      <c r="T51">
        <f>+AVERAGE(G51,N51)</f>
        <v>-0.99122408599999989</v>
      </c>
      <c r="U51" s="1">
        <v>6.2000000000000002E-12</v>
      </c>
      <c r="V51" s="1">
        <v>5.5799999999999998E-33</v>
      </c>
      <c r="W51" s="1">
        <v>1.41E-17</v>
      </c>
      <c r="X51">
        <v>1</v>
      </c>
    </row>
    <row r="52" spans="1:24" x14ac:dyDescent="0.25">
      <c r="A52" t="s">
        <v>395</v>
      </c>
      <c r="B52" t="s">
        <v>42</v>
      </c>
      <c r="C52" t="s">
        <v>234</v>
      </c>
      <c r="D52">
        <v>-0.76580789500000002</v>
      </c>
      <c r="E52">
        <v>-0.139936058</v>
      </c>
      <c r="F52">
        <v>-4.9441097480157715E-2</v>
      </c>
      <c r="G52">
        <v>-0.90574395299999999</v>
      </c>
      <c r="H52">
        <v>0.28787154500000001</v>
      </c>
      <c r="I52">
        <f t="shared" si="0"/>
        <v>-0.95518505048015767</v>
      </c>
      <c r="J52">
        <f t="shared" si="1"/>
        <v>0.27784326291454364</v>
      </c>
      <c r="K52">
        <v>-0.95194763900000001</v>
      </c>
      <c r="L52">
        <v>-0.200794062</v>
      </c>
      <c r="M52">
        <v>0.143403965745907</v>
      </c>
      <c r="N52">
        <v>-1.1527417010000001</v>
      </c>
      <c r="O52">
        <v>0.23998865699999999</v>
      </c>
      <c r="P52">
        <f t="shared" si="2"/>
        <v>-1.0093377352540931</v>
      </c>
      <c r="Q52">
        <f t="shared" si="3"/>
        <v>0.26710947703751764</v>
      </c>
      <c r="R52">
        <f>+AVERAGE(O52,H52)</f>
        <v>0.26393010100000003</v>
      </c>
      <c r="S52">
        <f>+AVERAGE(E52,L52)</f>
        <v>-0.17036506000000001</v>
      </c>
      <c r="T52">
        <f>+AVERAGE(G52,N52)</f>
        <v>-1.029242827</v>
      </c>
      <c r="U52">
        <v>0.99560744199999995</v>
      </c>
      <c r="V52" s="1">
        <v>6.2100000000000003E-21</v>
      </c>
      <c r="W52">
        <v>4.3923850000000004E-3</v>
      </c>
      <c r="X52">
        <v>1.73E-7</v>
      </c>
    </row>
    <row r="53" spans="1:24" x14ac:dyDescent="0.25">
      <c r="A53" t="s">
        <v>395</v>
      </c>
      <c r="B53" t="s">
        <v>29</v>
      </c>
      <c r="C53" t="s">
        <v>198</v>
      </c>
      <c r="D53">
        <v>-0.76580789500000002</v>
      </c>
      <c r="E53">
        <v>1.6780584000000001E-2</v>
      </c>
      <c r="F53">
        <v>0.20639898313457225</v>
      </c>
      <c r="G53">
        <v>-0.74902731099999997</v>
      </c>
      <c r="H53">
        <v>0.32103328199999998</v>
      </c>
      <c r="I53">
        <f t="shared" si="0"/>
        <v>-0.5426283278654277</v>
      </c>
      <c r="J53">
        <f t="shared" si="1"/>
        <v>0.36757637831661244</v>
      </c>
      <c r="K53">
        <v>-0.95194763900000001</v>
      </c>
      <c r="L53">
        <v>-0.262032237</v>
      </c>
      <c r="M53">
        <v>0.1319356394463834</v>
      </c>
      <c r="N53">
        <v>-1.213979876</v>
      </c>
      <c r="O53">
        <v>0.22899761499999999</v>
      </c>
      <c r="P53">
        <f t="shared" si="2"/>
        <v>-1.0820442365536167</v>
      </c>
      <c r="Q53">
        <f t="shared" si="3"/>
        <v>0.25311935884133091</v>
      </c>
      <c r="R53">
        <f>+AVERAGE(O53,H53)</f>
        <v>0.27501544849999998</v>
      </c>
      <c r="S53">
        <f>+AVERAGE(E53,L53)</f>
        <v>-0.12262582650000001</v>
      </c>
      <c r="T53">
        <f>+AVERAGE(G53,N53)</f>
        <v>-0.98150359350000005</v>
      </c>
      <c r="U53" s="1">
        <v>7.9599999999999992E-12</v>
      </c>
      <c r="V53" s="1">
        <v>3.8899999999999998E-33</v>
      </c>
      <c r="W53" s="1">
        <v>5.8600000000000006E-17</v>
      </c>
      <c r="X53">
        <v>1</v>
      </c>
    </row>
    <row r="54" spans="1:24" x14ac:dyDescent="0.25">
      <c r="A54" t="s">
        <v>395</v>
      </c>
      <c r="B54" t="s">
        <v>42</v>
      </c>
      <c r="C54" t="s">
        <v>174</v>
      </c>
      <c r="D54">
        <v>-0.76580789500000002</v>
      </c>
      <c r="E54">
        <v>0.40851585699999998</v>
      </c>
      <c r="F54">
        <v>-4.9441097480157715E-2</v>
      </c>
      <c r="G54">
        <v>-0.35729203799999998</v>
      </c>
      <c r="H54">
        <v>0.41161524500000002</v>
      </c>
      <c r="I54">
        <f t="shared" si="0"/>
        <v>-0.40673313548015777</v>
      </c>
      <c r="J54">
        <f t="shared" si="1"/>
        <v>0.39969571205603766</v>
      </c>
      <c r="K54">
        <v>-0.95194763900000001</v>
      </c>
      <c r="L54">
        <v>0.370261059</v>
      </c>
      <c r="M54">
        <v>0.143403965745907</v>
      </c>
      <c r="N54">
        <v>-0.58168657999999995</v>
      </c>
      <c r="O54">
        <v>0.35854460399999999</v>
      </c>
      <c r="P54">
        <f t="shared" si="2"/>
        <v>-0.43828261425409298</v>
      </c>
      <c r="Q54">
        <f t="shared" si="3"/>
        <v>0.39215026389504837</v>
      </c>
      <c r="R54">
        <f>+AVERAGE(O54,H54)</f>
        <v>0.3850799245</v>
      </c>
      <c r="S54">
        <f>+AVERAGE(E54,L54)</f>
        <v>0.38938845799999999</v>
      </c>
      <c r="T54">
        <f>+AVERAGE(G54,N54)</f>
        <v>-0.46948930899999997</v>
      </c>
      <c r="U54" s="1">
        <v>1.1499999999999999E-13</v>
      </c>
      <c r="V54" s="1">
        <v>3.4699999999999998E-35</v>
      </c>
      <c r="W54" s="1">
        <v>9.8200000000000001E-18</v>
      </c>
      <c r="X54">
        <v>1</v>
      </c>
    </row>
    <row r="55" spans="1:24" x14ac:dyDescent="0.25">
      <c r="A55" t="s">
        <v>395</v>
      </c>
      <c r="B55" t="s">
        <v>42</v>
      </c>
      <c r="C55" t="s">
        <v>235</v>
      </c>
      <c r="D55">
        <v>-0.76580789500000002</v>
      </c>
      <c r="E55">
        <v>-0.56240185300000001</v>
      </c>
      <c r="F55">
        <v>-4.9441097480157715E-2</v>
      </c>
      <c r="G55">
        <v>-1.3282097479999999</v>
      </c>
      <c r="H55">
        <v>0.20945564799999999</v>
      </c>
      <c r="I55">
        <f t="shared" si="0"/>
        <v>-1.3776508454801577</v>
      </c>
      <c r="J55">
        <f t="shared" si="1"/>
        <v>0.20138654926798641</v>
      </c>
      <c r="K55">
        <v>-0.95194763900000001</v>
      </c>
      <c r="L55">
        <v>-0.49626416499999998</v>
      </c>
      <c r="M55">
        <v>0.143403965745907</v>
      </c>
      <c r="N55">
        <v>-1.4482118049999999</v>
      </c>
      <c r="O55">
        <v>0.19027692399999999</v>
      </c>
      <c r="P55">
        <f t="shared" si="2"/>
        <v>-1.3048078382540931</v>
      </c>
      <c r="Q55">
        <f t="shared" si="3"/>
        <v>0.21335697765545758</v>
      </c>
      <c r="R55">
        <f>+AVERAGE(O55,H55)</f>
        <v>0.199866286</v>
      </c>
      <c r="S55">
        <f>+AVERAGE(E55,L55)</f>
        <v>-0.52933300900000002</v>
      </c>
      <c r="T55">
        <f>+AVERAGE(G55,N55)</f>
        <v>-1.3882107764999998</v>
      </c>
      <c r="U55">
        <v>0.99611185099999999</v>
      </c>
      <c r="V55" s="1">
        <v>1.9099999999999999E-18</v>
      </c>
      <c r="W55">
        <v>3.888149E-3</v>
      </c>
      <c r="X55" s="1">
        <v>2.01E-11</v>
      </c>
    </row>
    <row r="56" spans="1:24" x14ac:dyDescent="0.25">
      <c r="A56" t="s">
        <v>395</v>
      </c>
      <c r="B56" t="s">
        <v>35</v>
      </c>
      <c r="C56" t="s">
        <v>93</v>
      </c>
      <c r="D56">
        <v>-0.76580789500000002</v>
      </c>
      <c r="E56">
        <v>-0.13924718799999999</v>
      </c>
      <c r="F56">
        <v>0</v>
      </c>
      <c r="G56">
        <v>-0.90505508300000004</v>
      </c>
      <c r="H56">
        <v>0.28801278499999999</v>
      </c>
      <c r="I56">
        <f t="shared" si="0"/>
        <v>-0.90505508300000004</v>
      </c>
      <c r="J56">
        <f t="shared" si="1"/>
        <v>0.28801278505707617</v>
      </c>
      <c r="K56">
        <v>-0.95194763900000001</v>
      </c>
      <c r="L56">
        <v>-0.19143247599999999</v>
      </c>
      <c r="M56">
        <v>0</v>
      </c>
      <c r="N56">
        <v>-1.143380115</v>
      </c>
      <c r="O56">
        <v>0.241700308</v>
      </c>
      <c r="P56">
        <f t="shared" si="2"/>
        <v>-1.143380115</v>
      </c>
      <c r="Q56">
        <f t="shared" si="3"/>
        <v>0.24170030846177532</v>
      </c>
      <c r="R56">
        <f>+AVERAGE(O56,H56)</f>
        <v>0.26485654650000001</v>
      </c>
      <c r="S56">
        <f>+AVERAGE(E56,L56)</f>
        <v>-0.16533983199999999</v>
      </c>
      <c r="T56">
        <f>+AVERAGE(G56,N56)</f>
        <v>-1.024217599</v>
      </c>
      <c r="U56" s="1">
        <v>1.4300000000000001E-16</v>
      </c>
      <c r="V56" s="1">
        <v>7.6899999999999998E-40</v>
      </c>
      <c r="W56" s="1">
        <v>8.6999999999999999E-21</v>
      </c>
      <c r="X56">
        <v>1</v>
      </c>
    </row>
    <row r="57" spans="1:24" x14ac:dyDescent="0.25">
      <c r="A57" t="s">
        <v>395</v>
      </c>
      <c r="B57" t="s">
        <v>81</v>
      </c>
      <c r="C57" t="s">
        <v>158</v>
      </c>
      <c r="D57">
        <v>-0.76580789500000002</v>
      </c>
      <c r="E57">
        <v>-4.1006883000000001E-2</v>
      </c>
      <c r="F57">
        <v>1.8542134737425525E-2</v>
      </c>
      <c r="G57">
        <v>-0.80681477800000001</v>
      </c>
      <c r="H57">
        <v>0.30856966200000002</v>
      </c>
      <c r="I57">
        <f t="shared" si="0"/>
        <v>-0.78827264326257451</v>
      </c>
      <c r="J57">
        <f t="shared" si="1"/>
        <v>0.31253968668923149</v>
      </c>
      <c r="K57">
        <v>-0.95194763900000001</v>
      </c>
      <c r="L57">
        <v>-0.120731477</v>
      </c>
      <c r="M57">
        <v>8.7894785803348752E-2</v>
      </c>
      <c r="N57">
        <v>-1.0726791170000001</v>
      </c>
      <c r="O57">
        <v>0.25489392399999999</v>
      </c>
      <c r="P57">
        <f t="shared" si="2"/>
        <v>-0.98478433019665124</v>
      </c>
      <c r="Q57">
        <f t="shared" si="3"/>
        <v>0.27194350014805718</v>
      </c>
      <c r="R57">
        <f>+AVERAGE(O57,H57)</f>
        <v>0.28173179300000001</v>
      </c>
      <c r="S57">
        <f>+AVERAGE(E57,L57)</f>
        <v>-8.0869179999999999E-2</v>
      </c>
      <c r="T57">
        <f>+AVERAGE(G57,N57)</f>
        <v>-0.93974694749999998</v>
      </c>
      <c r="U57" s="1">
        <v>2.41E-14</v>
      </c>
      <c r="V57" s="1">
        <v>1.6599999999999999E-37</v>
      </c>
      <c r="W57" s="1">
        <v>3.11E-18</v>
      </c>
      <c r="X57">
        <v>1</v>
      </c>
    </row>
    <row r="58" spans="1:24" x14ac:dyDescent="0.25">
      <c r="A58" t="s">
        <v>395</v>
      </c>
      <c r="B58" t="s">
        <v>54</v>
      </c>
      <c r="C58" t="s">
        <v>55</v>
      </c>
      <c r="D58">
        <v>-0.76580789500000002</v>
      </c>
      <c r="E58">
        <v>0.191073146</v>
      </c>
      <c r="F58">
        <v>0.10108352689561931</v>
      </c>
      <c r="G58">
        <v>-0.57473474899999999</v>
      </c>
      <c r="H58">
        <v>0.36014502599999998</v>
      </c>
      <c r="I58">
        <f t="shared" si="0"/>
        <v>-0.47365122210438071</v>
      </c>
      <c r="J58">
        <f t="shared" si="1"/>
        <v>0.38375241318840203</v>
      </c>
      <c r="K58">
        <v>-0.95194763900000001</v>
      </c>
      <c r="L58">
        <v>0.22425165499999999</v>
      </c>
      <c r="M58">
        <v>0.31611013044056913</v>
      </c>
      <c r="N58">
        <v>-0.72769598400000002</v>
      </c>
      <c r="O58">
        <v>0.32570053100000002</v>
      </c>
      <c r="P58">
        <f t="shared" si="2"/>
        <v>-0.41158585355943089</v>
      </c>
      <c r="Q58">
        <f t="shared" si="3"/>
        <v>0.39853192424676637</v>
      </c>
      <c r="R58">
        <f>+AVERAGE(O58,H58)</f>
        <v>0.34292277849999997</v>
      </c>
      <c r="S58">
        <f>+AVERAGE(E58,L58)</f>
        <v>0.20766240050000001</v>
      </c>
      <c r="T58">
        <f>+AVERAGE(G58,N58)</f>
        <v>-0.6512153665</v>
      </c>
      <c r="U58" s="1">
        <v>1.8000000000000001E-18</v>
      </c>
      <c r="V58" s="1">
        <v>2.9799999999999998E-41</v>
      </c>
      <c r="W58" s="1">
        <v>1.2800000000000001E-20</v>
      </c>
      <c r="X58">
        <v>1</v>
      </c>
    </row>
    <row r="59" spans="1:24" x14ac:dyDescent="0.25">
      <c r="A59" t="s">
        <v>395</v>
      </c>
      <c r="B59" t="s">
        <v>89</v>
      </c>
      <c r="C59" t="s">
        <v>208</v>
      </c>
      <c r="D59">
        <v>-0.76580789500000002</v>
      </c>
      <c r="E59">
        <v>7.023039E-3</v>
      </c>
      <c r="F59">
        <v>0.30158677788175303</v>
      </c>
      <c r="G59">
        <v>-0.75878485600000001</v>
      </c>
      <c r="H59">
        <v>0.31891014499999998</v>
      </c>
      <c r="I59">
        <f t="shared" si="0"/>
        <v>-0.45719807811824698</v>
      </c>
      <c r="J59">
        <f t="shared" si="1"/>
        <v>0.38765072772460468</v>
      </c>
      <c r="K59">
        <v>-0.95194763900000001</v>
      </c>
      <c r="L59">
        <v>0.25662238799999998</v>
      </c>
      <c r="M59">
        <v>0.31251975382699121</v>
      </c>
      <c r="N59">
        <v>-0.69532525099999998</v>
      </c>
      <c r="O59">
        <v>0.332849493</v>
      </c>
      <c r="P59">
        <f t="shared" si="2"/>
        <v>-0.38280549717300888</v>
      </c>
      <c r="Q59">
        <f t="shared" si="3"/>
        <v>0.40545042386121588</v>
      </c>
      <c r="R59">
        <f>+AVERAGE(O59,H59)</f>
        <v>0.32587981899999996</v>
      </c>
      <c r="S59">
        <f>+AVERAGE(E59,L59)</f>
        <v>0.13182271349999999</v>
      </c>
      <c r="T59">
        <f>+AVERAGE(G59,N59)</f>
        <v>-0.72705505349999999</v>
      </c>
      <c r="U59" s="1">
        <v>4.8E-9</v>
      </c>
      <c r="V59" s="1">
        <v>2.93E-30</v>
      </c>
      <c r="W59" s="1">
        <v>3.3299999999999999E-13</v>
      </c>
      <c r="X59">
        <v>0.99999999500000003</v>
      </c>
    </row>
    <row r="60" spans="1:24" x14ac:dyDescent="0.25">
      <c r="A60" t="s">
        <v>395</v>
      </c>
      <c r="B60" t="s">
        <v>81</v>
      </c>
      <c r="C60" t="s">
        <v>199</v>
      </c>
      <c r="D60">
        <v>-0.76580789500000002</v>
      </c>
      <c r="E60">
        <v>0.13880404099999999</v>
      </c>
      <c r="F60">
        <v>1.8542134737425525E-2</v>
      </c>
      <c r="G60">
        <v>-0.62700385400000003</v>
      </c>
      <c r="H60">
        <v>0.34819021500000003</v>
      </c>
      <c r="I60">
        <f t="shared" si="0"/>
        <v>-0.60846171926257453</v>
      </c>
      <c r="J60">
        <f t="shared" si="1"/>
        <v>0.3524101803571334</v>
      </c>
      <c r="K60">
        <v>-0.95194763900000001</v>
      </c>
      <c r="L60">
        <v>-5.2632523000000001E-2</v>
      </c>
      <c r="M60">
        <v>8.7894785803348752E-2</v>
      </c>
      <c r="N60">
        <v>-1.0045801620000001</v>
      </c>
      <c r="O60">
        <v>0.26804186000000002</v>
      </c>
      <c r="P60">
        <f t="shared" si="2"/>
        <v>-0.91668537619665136</v>
      </c>
      <c r="Q60">
        <f t="shared" si="3"/>
        <v>0.28563375286807086</v>
      </c>
      <c r="R60">
        <f>+AVERAGE(O60,H60)</f>
        <v>0.30811603750000005</v>
      </c>
      <c r="S60">
        <f>+AVERAGE(E60,L60)</f>
        <v>4.3085758999999994E-2</v>
      </c>
      <c r="T60">
        <f>+AVERAGE(G60,N60)</f>
        <v>-0.81579200800000007</v>
      </c>
      <c r="U60" s="1">
        <v>1.1000000000000001E-11</v>
      </c>
      <c r="V60" s="1">
        <v>5.3599999999999996E-35</v>
      </c>
      <c r="W60" s="1">
        <v>8.74E-17</v>
      </c>
      <c r="X60">
        <v>1</v>
      </c>
    </row>
    <row r="61" spans="1:24" x14ac:dyDescent="0.25">
      <c r="A61" t="s">
        <v>395</v>
      </c>
      <c r="B61" t="s">
        <v>31</v>
      </c>
      <c r="C61" t="s">
        <v>113</v>
      </c>
      <c r="D61">
        <v>-0.76580789500000002</v>
      </c>
      <c r="E61">
        <v>-0.122047769</v>
      </c>
      <c r="F61">
        <v>-0.40815884462967861</v>
      </c>
      <c r="G61">
        <v>-0.88785566400000004</v>
      </c>
      <c r="H61">
        <v>0.291552541</v>
      </c>
      <c r="I61">
        <f t="shared" si="0"/>
        <v>-1.2960145086296786</v>
      </c>
      <c r="J61">
        <f t="shared" si="1"/>
        <v>0.21483653272579786</v>
      </c>
      <c r="K61">
        <v>-0.95194763900000001</v>
      </c>
      <c r="L61">
        <v>-0.133332847</v>
      </c>
      <c r="M61">
        <v>-0.66911011404127352</v>
      </c>
      <c r="N61">
        <v>-1.085280486</v>
      </c>
      <c r="O61">
        <v>0.25250803500000002</v>
      </c>
      <c r="P61">
        <f t="shared" si="2"/>
        <v>-1.7543906000412735</v>
      </c>
      <c r="Q61">
        <f t="shared" si="3"/>
        <v>0.14749427036889126</v>
      </c>
      <c r="R61">
        <f>+AVERAGE(O61,H61)</f>
        <v>0.27203028800000001</v>
      </c>
      <c r="S61">
        <f>+AVERAGE(E61,L61)</f>
        <v>-0.127690308</v>
      </c>
      <c r="T61">
        <f>+AVERAGE(G61,N61)</f>
        <v>-0.9865680750000001</v>
      </c>
      <c r="U61" s="1">
        <v>6.7199999999999997E-16</v>
      </c>
      <c r="V61" s="1">
        <v>4.45E-41</v>
      </c>
      <c r="W61" s="1">
        <v>3.1699999999999999E-20</v>
      </c>
      <c r="X61">
        <v>1</v>
      </c>
    </row>
    <row r="62" spans="1:24" x14ac:dyDescent="0.25">
      <c r="A62" t="s">
        <v>395</v>
      </c>
      <c r="B62" t="s">
        <v>89</v>
      </c>
      <c r="C62" t="s">
        <v>96</v>
      </c>
      <c r="D62">
        <v>-0.76580789500000002</v>
      </c>
      <c r="E62">
        <v>0.18668641899999999</v>
      </c>
      <c r="F62">
        <v>0.30158677788175303</v>
      </c>
      <c r="G62">
        <v>-0.579121475</v>
      </c>
      <c r="H62">
        <v>0.35913476700000002</v>
      </c>
      <c r="I62">
        <f t="shared" si="0"/>
        <v>-0.27753469811824705</v>
      </c>
      <c r="J62">
        <f t="shared" si="1"/>
        <v>0.43105828099932575</v>
      </c>
      <c r="K62">
        <v>-0.95194763900000001</v>
      </c>
      <c r="L62">
        <v>0.31489051099999998</v>
      </c>
      <c r="M62">
        <v>0.31251975382699121</v>
      </c>
      <c r="N62">
        <v>-0.63705712800000003</v>
      </c>
      <c r="O62">
        <v>0.34591208200000001</v>
      </c>
      <c r="P62">
        <f t="shared" si="2"/>
        <v>-0.32453737417300882</v>
      </c>
      <c r="Q62">
        <f t="shared" si="3"/>
        <v>0.41957035474905841</v>
      </c>
      <c r="R62">
        <f>+AVERAGE(O62,H62)</f>
        <v>0.35252342450000002</v>
      </c>
      <c r="S62">
        <f>+AVERAGE(E62,L62)</f>
        <v>0.25078846499999996</v>
      </c>
      <c r="T62">
        <f>+AVERAGE(G62,N62)</f>
        <v>-0.60808930149999996</v>
      </c>
      <c r="U62" s="1">
        <v>1.56E-16</v>
      </c>
      <c r="V62" s="1">
        <v>6.3299999999999997E-34</v>
      </c>
      <c r="W62" s="1">
        <v>2.7799999999999999E-21</v>
      </c>
      <c r="X62">
        <v>1</v>
      </c>
    </row>
    <row r="63" spans="1:24" x14ac:dyDescent="0.25">
      <c r="A63" t="s">
        <v>395</v>
      </c>
      <c r="B63" t="s">
        <v>31</v>
      </c>
      <c r="C63" t="s">
        <v>92</v>
      </c>
      <c r="D63">
        <v>-0.76580789500000002</v>
      </c>
      <c r="E63">
        <v>-0.110135516</v>
      </c>
      <c r="F63">
        <v>-0.40815884462967861</v>
      </c>
      <c r="G63">
        <v>-0.87594340999999998</v>
      </c>
      <c r="H63">
        <v>0.294019109</v>
      </c>
      <c r="I63">
        <f t="shared" si="0"/>
        <v>-1.2841022556296786</v>
      </c>
      <c r="J63">
        <f t="shared" si="1"/>
        <v>0.21685273805272912</v>
      </c>
      <c r="K63">
        <v>-0.95194763900000001</v>
      </c>
      <c r="L63">
        <v>-8.4773454999999998E-2</v>
      </c>
      <c r="M63">
        <v>-0.66911011404127352</v>
      </c>
      <c r="N63">
        <v>-1.0367210950000001</v>
      </c>
      <c r="O63">
        <v>0.26178315600000002</v>
      </c>
      <c r="P63">
        <f t="shared" si="2"/>
        <v>-1.7058312080412734</v>
      </c>
      <c r="Q63">
        <f t="shared" si="3"/>
        <v>0.15370520938004695</v>
      </c>
      <c r="R63">
        <f>+AVERAGE(O63,H63)</f>
        <v>0.27790113250000004</v>
      </c>
      <c r="S63">
        <f>+AVERAGE(E63,L63)</f>
        <v>-9.7454485499999993E-2</v>
      </c>
      <c r="T63">
        <f>+AVERAGE(G63,N63)</f>
        <v>-0.95633225249999998</v>
      </c>
      <c r="U63" s="1">
        <v>1.3100000000000001E-16</v>
      </c>
      <c r="V63" s="1">
        <v>1.84E-39</v>
      </c>
      <c r="W63" s="1">
        <v>1.6800000000000001E-20</v>
      </c>
      <c r="X63">
        <v>1</v>
      </c>
    </row>
    <row r="64" spans="1:24" x14ac:dyDescent="0.25">
      <c r="A64" t="s">
        <v>395</v>
      </c>
      <c r="B64" t="s">
        <v>89</v>
      </c>
      <c r="C64" t="s">
        <v>121</v>
      </c>
      <c r="D64">
        <v>-0.76580789500000002</v>
      </c>
      <c r="E64">
        <v>0.12541126399999999</v>
      </c>
      <c r="F64">
        <v>0.30158677788175303</v>
      </c>
      <c r="G64">
        <v>-0.64039663099999999</v>
      </c>
      <c r="H64">
        <v>0.345156886</v>
      </c>
      <c r="I64">
        <f t="shared" si="0"/>
        <v>-0.33880985311824696</v>
      </c>
      <c r="J64">
        <f t="shared" si="1"/>
        <v>0.41609860690780404</v>
      </c>
      <c r="K64">
        <v>-0.95194763900000001</v>
      </c>
      <c r="L64">
        <v>0.13834658599999999</v>
      </c>
      <c r="M64">
        <v>0.31251975382699121</v>
      </c>
      <c r="N64">
        <v>-0.81360105299999996</v>
      </c>
      <c r="O64">
        <v>0.30712366400000002</v>
      </c>
      <c r="P64">
        <f t="shared" si="2"/>
        <v>-0.5010812991730087</v>
      </c>
      <c r="Q64">
        <f t="shared" si="3"/>
        <v>0.37728659314671503</v>
      </c>
      <c r="R64">
        <f>+AVERAGE(O64,H64)</f>
        <v>0.32614027499999998</v>
      </c>
      <c r="S64">
        <f>+AVERAGE(E64,L64)</f>
        <v>0.13187892499999998</v>
      </c>
      <c r="T64">
        <f>+AVERAGE(G64,N64)</f>
        <v>-0.72699884199999998</v>
      </c>
      <c r="U64" s="1">
        <v>1.4399999999999999E-15</v>
      </c>
      <c r="V64" s="1">
        <v>8.1699999999999998E-37</v>
      </c>
      <c r="W64" s="1">
        <v>4.2999999999999998E-21</v>
      </c>
      <c r="X64">
        <v>1</v>
      </c>
    </row>
    <row r="65" spans="1:24" x14ac:dyDescent="0.25">
      <c r="A65" t="s">
        <v>395</v>
      </c>
      <c r="B65" t="s">
        <v>45</v>
      </c>
      <c r="C65" t="s">
        <v>214</v>
      </c>
      <c r="D65">
        <v>-0.76580789500000002</v>
      </c>
      <c r="E65">
        <v>-6.3501970000000005E-2</v>
      </c>
      <c r="F65">
        <v>-0.58307157706059798</v>
      </c>
      <c r="G65">
        <v>-0.82930986500000003</v>
      </c>
      <c r="H65">
        <v>0.303791015</v>
      </c>
      <c r="I65">
        <f t="shared" si="0"/>
        <v>-1.412381442060598</v>
      </c>
      <c r="J65">
        <f t="shared" si="1"/>
        <v>0.19585871213820247</v>
      </c>
      <c r="K65">
        <v>-0.95194763900000001</v>
      </c>
      <c r="L65">
        <v>-0.27344492500000001</v>
      </c>
      <c r="M65">
        <v>-0.76434299473732881</v>
      </c>
      <c r="N65">
        <v>-1.2253925640000001</v>
      </c>
      <c r="O65">
        <v>0.22698885199999999</v>
      </c>
      <c r="P65">
        <f t="shared" si="2"/>
        <v>-1.9897355587373289</v>
      </c>
      <c r="Q65">
        <f t="shared" si="3"/>
        <v>0.12028484188019102</v>
      </c>
      <c r="R65">
        <f>+AVERAGE(O65,H65)</f>
        <v>0.26538993350000001</v>
      </c>
      <c r="S65">
        <f>+AVERAGE(E65,L65)</f>
        <v>-0.16847344750000001</v>
      </c>
      <c r="T65">
        <f>+AVERAGE(G65,N65)</f>
        <v>-1.0273512145000001</v>
      </c>
      <c r="U65">
        <v>9.1193700000000003E-4</v>
      </c>
      <c r="V65">
        <v>0.99908674900000005</v>
      </c>
      <c r="W65">
        <v>1.31E-6</v>
      </c>
      <c r="X65" s="1">
        <v>7.7200000000000002E-16</v>
      </c>
    </row>
    <row r="66" spans="1:24" x14ac:dyDescent="0.25">
      <c r="A66" t="s">
        <v>395</v>
      </c>
      <c r="B66" t="s">
        <v>65</v>
      </c>
      <c r="C66" t="s">
        <v>220</v>
      </c>
      <c r="D66">
        <v>-0.76580789500000002</v>
      </c>
      <c r="E66">
        <v>-0.38792423100000001</v>
      </c>
      <c r="F66">
        <v>-0.24178949960145765</v>
      </c>
      <c r="G66">
        <v>-1.1537321250000001</v>
      </c>
      <c r="H66">
        <v>0.23980805499999999</v>
      </c>
      <c r="I66">
        <f t="shared" si="0"/>
        <v>-1.3955216256014575</v>
      </c>
      <c r="J66">
        <f t="shared" si="1"/>
        <v>0.19852772365400115</v>
      </c>
      <c r="K66">
        <v>-0.95194763900000001</v>
      </c>
      <c r="L66">
        <v>-0.310903184</v>
      </c>
      <c r="M66">
        <v>0.1024183081098506</v>
      </c>
      <c r="N66">
        <v>-1.262850824</v>
      </c>
      <c r="O66">
        <v>0.22048352900000001</v>
      </c>
      <c r="P66">
        <f t="shared" si="2"/>
        <v>-1.1604325148901493</v>
      </c>
      <c r="Q66">
        <f t="shared" si="3"/>
        <v>0.2385887038305109</v>
      </c>
      <c r="R66">
        <f>+AVERAGE(O66,H66)</f>
        <v>0.23014579200000002</v>
      </c>
      <c r="S66">
        <f>+AVERAGE(E66,L66)</f>
        <v>-0.3494137075</v>
      </c>
      <c r="T66">
        <f>+AVERAGE(G66,N66)</f>
        <v>-1.2082914745000002</v>
      </c>
      <c r="U66">
        <v>0.582024082</v>
      </c>
      <c r="V66" s="1">
        <v>2.4300000000000001E-23</v>
      </c>
      <c r="W66">
        <v>0.32182463700000002</v>
      </c>
      <c r="X66">
        <v>9.6151281000000005E-2</v>
      </c>
    </row>
    <row r="67" spans="1:24" x14ac:dyDescent="0.25">
      <c r="A67" t="s">
        <v>395</v>
      </c>
      <c r="B67" t="s">
        <v>38</v>
      </c>
      <c r="C67" t="s">
        <v>222</v>
      </c>
      <c r="D67">
        <v>-0.76580789500000002</v>
      </c>
      <c r="E67">
        <v>-0.30571691699999998</v>
      </c>
      <c r="F67">
        <v>-6.8234224002180349E-2</v>
      </c>
      <c r="G67">
        <v>-1.071524812</v>
      </c>
      <c r="H67">
        <v>0.255113215</v>
      </c>
      <c r="I67">
        <f t="shared" ref="I67:I130" si="4">+D67+E67+F67</f>
        <v>-1.1397590360021803</v>
      </c>
      <c r="J67">
        <f t="shared" ref="J67:J130" si="5">1/(1+EXP(-I67))</f>
        <v>0.24236460502329407</v>
      </c>
      <c r="K67">
        <v>-0.95194763900000001</v>
      </c>
      <c r="L67">
        <v>-0.34662630999999999</v>
      </c>
      <c r="M67">
        <v>0.23599397861893998</v>
      </c>
      <c r="N67">
        <v>-1.2985739489999999</v>
      </c>
      <c r="O67">
        <v>0.21440511700000001</v>
      </c>
      <c r="P67">
        <f t="shared" ref="P67:P130" si="6">+K67+L67+M67</f>
        <v>-1.0625799703810601</v>
      </c>
      <c r="Q67">
        <f t="shared" ref="Q67:Q130" si="7">1/(1+EXP(-P67))</f>
        <v>0.25681672779212639</v>
      </c>
      <c r="R67">
        <f>+AVERAGE(O67,H67)</f>
        <v>0.23475916600000002</v>
      </c>
      <c r="S67">
        <f>+AVERAGE(E67,L67)</f>
        <v>-0.32617161350000001</v>
      </c>
      <c r="T67">
        <f>+AVERAGE(G67,N67)</f>
        <v>-1.1850493805</v>
      </c>
      <c r="U67">
        <v>0.71143882400000003</v>
      </c>
      <c r="V67" s="1">
        <v>1.28E-25</v>
      </c>
      <c r="W67">
        <v>5.13E-6</v>
      </c>
      <c r="X67">
        <v>0.28855604699999998</v>
      </c>
    </row>
    <row r="68" spans="1:24" x14ac:dyDescent="0.25">
      <c r="A68" t="s">
        <v>395</v>
      </c>
      <c r="B68" t="s">
        <v>42</v>
      </c>
      <c r="C68" t="s">
        <v>53</v>
      </c>
      <c r="D68">
        <v>-0.76580789500000002</v>
      </c>
      <c r="E68">
        <v>-0.50880477499999999</v>
      </c>
      <c r="F68">
        <v>-4.9441097480157715E-2</v>
      </c>
      <c r="G68">
        <v>-1.2746126689999999</v>
      </c>
      <c r="H68">
        <v>0.21846866200000001</v>
      </c>
      <c r="I68">
        <f t="shared" si="4"/>
        <v>-1.3240537674801578</v>
      </c>
      <c r="J68">
        <f t="shared" si="5"/>
        <v>0.21014464283433079</v>
      </c>
      <c r="K68">
        <v>-0.95194763900000001</v>
      </c>
      <c r="L68">
        <v>-0.74684594599999998</v>
      </c>
      <c r="M68">
        <v>0.143403965745907</v>
      </c>
      <c r="N68">
        <v>-1.698793585</v>
      </c>
      <c r="O68">
        <v>0.15462289600000001</v>
      </c>
      <c r="P68">
        <f t="shared" si="6"/>
        <v>-1.555389619254093</v>
      </c>
      <c r="Q68">
        <f t="shared" si="7"/>
        <v>0.17430920235377262</v>
      </c>
      <c r="R68">
        <f>+AVERAGE(O68,H68)</f>
        <v>0.18654577900000002</v>
      </c>
      <c r="S68">
        <f>+AVERAGE(E68,L68)</f>
        <v>-0.62782536049999993</v>
      </c>
      <c r="T68">
        <f>+AVERAGE(G68,N68)</f>
        <v>-1.486703127</v>
      </c>
      <c r="U68" s="1">
        <v>1.34E-18</v>
      </c>
      <c r="V68" s="1">
        <v>2.8200000000000002E-40</v>
      </c>
      <c r="W68" s="1">
        <v>8.5299999999999997E-25</v>
      </c>
      <c r="X68">
        <v>1</v>
      </c>
    </row>
    <row r="69" spans="1:24" x14ac:dyDescent="0.25">
      <c r="A69" t="s">
        <v>395</v>
      </c>
      <c r="B69" t="s">
        <v>31</v>
      </c>
      <c r="C69" t="s">
        <v>228</v>
      </c>
      <c r="D69">
        <v>-0.76580789500000002</v>
      </c>
      <c r="E69">
        <v>0.31865774099999999</v>
      </c>
      <c r="F69">
        <v>-0.40815884462967861</v>
      </c>
      <c r="G69">
        <v>-0.44715015400000002</v>
      </c>
      <c r="H69">
        <v>0.39003855599999998</v>
      </c>
      <c r="I69">
        <f t="shared" si="4"/>
        <v>-0.85530899862967869</v>
      </c>
      <c r="J69">
        <f t="shared" si="5"/>
        <v>0.29832036111596583</v>
      </c>
      <c r="K69">
        <v>-0.95194763900000001</v>
      </c>
      <c r="L69">
        <v>0.45890299200000001</v>
      </c>
      <c r="M69">
        <v>-0.66911011404127352</v>
      </c>
      <c r="N69">
        <v>-0.493044647</v>
      </c>
      <c r="O69">
        <v>0.37917658900000001</v>
      </c>
      <c r="P69">
        <f t="shared" si="6"/>
        <v>-1.1621547610412735</v>
      </c>
      <c r="Q69">
        <f t="shared" si="7"/>
        <v>0.23827597434720596</v>
      </c>
      <c r="R69">
        <f>+AVERAGE(O69,H69)</f>
        <v>0.38460757249999999</v>
      </c>
      <c r="S69">
        <f>+AVERAGE(E69,L69)</f>
        <v>0.38878036650000003</v>
      </c>
      <c r="T69">
        <f>+AVERAGE(G69,N69)</f>
        <v>-0.47009740050000004</v>
      </c>
      <c r="U69">
        <v>0.97783827099999998</v>
      </c>
      <c r="V69" s="1">
        <v>1.7500000000000001E-27</v>
      </c>
      <c r="W69">
        <v>2.2161055999999998E-2</v>
      </c>
      <c r="X69">
        <v>6.7299999999999995E-7</v>
      </c>
    </row>
    <row r="70" spans="1:24" x14ac:dyDescent="0.25">
      <c r="A70" t="s">
        <v>395</v>
      </c>
      <c r="B70" t="s">
        <v>45</v>
      </c>
      <c r="C70" t="s">
        <v>46</v>
      </c>
      <c r="D70">
        <v>-0.76580789500000002</v>
      </c>
      <c r="E70">
        <v>-0.52370525800000001</v>
      </c>
      <c r="F70">
        <v>-0.58307157706059798</v>
      </c>
      <c r="G70">
        <v>-1.2895131529999999</v>
      </c>
      <c r="H70">
        <v>0.21593522600000001</v>
      </c>
      <c r="I70">
        <f t="shared" si="4"/>
        <v>-1.872584730060598</v>
      </c>
      <c r="J70">
        <f t="shared" si="5"/>
        <v>0.13324293091262931</v>
      </c>
      <c r="K70">
        <v>-0.95194763900000001</v>
      </c>
      <c r="L70">
        <v>-1.016212401</v>
      </c>
      <c r="M70">
        <v>-0.76434299473732881</v>
      </c>
      <c r="N70">
        <v>-1.9681600400000001</v>
      </c>
      <c r="O70">
        <v>0.122586654</v>
      </c>
      <c r="P70">
        <f t="shared" si="6"/>
        <v>-2.7325030347373289</v>
      </c>
      <c r="Q70">
        <f t="shared" si="7"/>
        <v>6.1082452498430771E-2</v>
      </c>
      <c r="R70">
        <f>+AVERAGE(O70,H70)</f>
        <v>0.16926094</v>
      </c>
      <c r="S70">
        <f>+AVERAGE(E70,L70)</f>
        <v>-0.76995882949999994</v>
      </c>
      <c r="T70">
        <f>+AVERAGE(G70,N70)</f>
        <v>-1.6288365965</v>
      </c>
      <c r="U70" s="1">
        <v>3.1800000000000002E-26</v>
      </c>
      <c r="V70">
        <v>1</v>
      </c>
      <c r="W70" s="1">
        <v>3.7999999999999998E-29</v>
      </c>
      <c r="X70" s="1">
        <v>4.5899999999999999E-42</v>
      </c>
    </row>
    <row r="71" spans="1:24" x14ac:dyDescent="0.25">
      <c r="A71" t="s">
        <v>395</v>
      </c>
      <c r="B71" t="s">
        <v>42</v>
      </c>
      <c r="C71" t="s">
        <v>43</v>
      </c>
      <c r="D71">
        <v>-0.76580789500000002</v>
      </c>
      <c r="E71">
        <v>0.172639773</v>
      </c>
      <c r="F71">
        <v>-4.9441097480157715E-2</v>
      </c>
      <c r="G71">
        <v>-0.59316812200000002</v>
      </c>
      <c r="H71">
        <v>0.355908271</v>
      </c>
      <c r="I71">
        <f t="shared" si="4"/>
        <v>-0.6426092194801577</v>
      </c>
      <c r="J71">
        <f t="shared" si="5"/>
        <v>0.34465696016305186</v>
      </c>
      <c r="K71">
        <v>-0.95194763900000001</v>
      </c>
      <c r="L71">
        <v>0.15884458400000001</v>
      </c>
      <c r="M71">
        <v>0.143403965745907</v>
      </c>
      <c r="N71">
        <v>-0.793103055</v>
      </c>
      <c r="O71">
        <v>0.31150277199999998</v>
      </c>
      <c r="P71">
        <f t="shared" si="6"/>
        <v>-0.64969908925409303</v>
      </c>
      <c r="Q71">
        <f t="shared" si="7"/>
        <v>0.34305735007877203</v>
      </c>
      <c r="R71">
        <f>+AVERAGE(O71,H71)</f>
        <v>0.33370552149999999</v>
      </c>
      <c r="S71">
        <f>+AVERAGE(E71,L71)</f>
        <v>0.1657421785</v>
      </c>
      <c r="T71">
        <f>+AVERAGE(G71,N71)</f>
        <v>-0.69313558850000001</v>
      </c>
      <c r="U71" s="1">
        <v>9.4400000000000002E-27</v>
      </c>
      <c r="V71">
        <v>1</v>
      </c>
      <c r="W71" s="1">
        <v>1.06E-31</v>
      </c>
      <c r="X71" s="1">
        <v>3.08E-25</v>
      </c>
    </row>
    <row r="72" spans="1:24" x14ac:dyDescent="0.25">
      <c r="A72" t="s">
        <v>395</v>
      </c>
      <c r="B72" t="s">
        <v>29</v>
      </c>
      <c r="C72" t="s">
        <v>131</v>
      </c>
      <c r="D72">
        <v>-0.76580789500000002</v>
      </c>
      <c r="E72">
        <v>-1.0362542000000001E-2</v>
      </c>
      <c r="F72">
        <v>0.20639898313457225</v>
      </c>
      <c r="G72">
        <v>-0.77617043699999999</v>
      </c>
      <c r="H72">
        <v>0.31514583099999999</v>
      </c>
      <c r="I72">
        <f t="shared" si="4"/>
        <v>-0.56977145386542771</v>
      </c>
      <c r="J72">
        <f t="shared" si="5"/>
        <v>0.36128956235125553</v>
      </c>
      <c r="K72">
        <v>-0.95194763900000001</v>
      </c>
      <c r="L72">
        <v>0.19931090200000001</v>
      </c>
      <c r="M72">
        <v>0.1319356394463834</v>
      </c>
      <c r="N72">
        <v>-0.75263673799999997</v>
      </c>
      <c r="O72">
        <v>0.32024704100000001</v>
      </c>
      <c r="P72">
        <f t="shared" si="6"/>
        <v>-0.62070109755361658</v>
      </c>
      <c r="Q72">
        <f t="shared" si="7"/>
        <v>0.34962201453145603</v>
      </c>
      <c r="R72">
        <f>+AVERAGE(O72,H72)</f>
        <v>0.31769643599999997</v>
      </c>
      <c r="S72">
        <f>+AVERAGE(E72,L72)</f>
        <v>9.4474180000000005E-2</v>
      </c>
      <c r="T72">
        <f>+AVERAGE(G72,N72)</f>
        <v>-0.76440358749999993</v>
      </c>
      <c r="U72" s="1">
        <v>3.3699999999999999E-15</v>
      </c>
      <c r="V72" s="1">
        <v>1.9099999999999999E-38</v>
      </c>
      <c r="W72" s="1">
        <v>2.14E-20</v>
      </c>
      <c r="X72">
        <v>1</v>
      </c>
    </row>
    <row r="73" spans="1:24" x14ac:dyDescent="0.25">
      <c r="A73" t="s">
        <v>395</v>
      </c>
      <c r="B73" t="s">
        <v>38</v>
      </c>
      <c r="C73" t="s">
        <v>67</v>
      </c>
      <c r="D73">
        <v>-0.76580789500000002</v>
      </c>
      <c r="E73">
        <v>0.24733229100000001</v>
      </c>
      <c r="F73">
        <v>-6.8234224002180349E-2</v>
      </c>
      <c r="G73">
        <v>-0.51847560400000003</v>
      </c>
      <c r="H73">
        <v>0.373208757</v>
      </c>
      <c r="I73">
        <f t="shared" si="4"/>
        <v>-0.58670982800218041</v>
      </c>
      <c r="J73">
        <f t="shared" si="5"/>
        <v>0.35739012811932813</v>
      </c>
      <c r="K73">
        <v>-0.95194763900000001</v>
      </c>
      <c r="L73">
        <v>0.52379081699999996</v>
      </c>
      <c r="M73">
        <v>0.23599397861893998</v>
      </c>
      <c r="N73">
        <v>-0.42815682300000002</v>
      </c>
      <c r="O73">
        <v>0.39456655099999999</v>
      </c>
      <c r="P73">
        <f t="shared" si="6"/>
        <v>-0.19216284338106007</v>
      </c>
      <c r="Q73">
        <f t="shared" si="7"/>
        <v>0.45210657680548649</v>
      </c>
      <c r="R73">
        <f>+AVERAGE(O73,H73)</f>
        <v>0.38388765400000002</v>
      </c>
      <c r="S73">
        <f>+AVERAGE(E73,L73)</f>
        <v>0.38556155399999997</v>
      </c>
      <c r="T73">
        <f>+AVERAGE(G73,N73)</f>
        <v>-0.47331621350000003</v>
      </c>
      <c r="U73" s="1">
        <v>1.1999999999999999E-17</v>
      </c>
      <c r="V73" s="1">
        <v>7.8400000000000001E-45</v>
      </c>
      <c r="W73" s="1">
        <v>4.5299999999999999E-23</v>
      </c>
      <c r="X73">
        <v>1</v>
      </c>
    </row>
    <row r="74" spans="1:24" x14ac:dyDescent="0.25">
      <c r="A74" t="s">
        <v>395</v>
      </c>
      <c r="B74" t="s">
        <v>12</v>
      </c>
      <c r="C74" t="s">
        <v>177</v>
      </c>
      <c r="D74">
        <v>-0.76580789500000002</v>
      </c>
      <c r="E74">
        <v>-0.21744418600000001</v>
      </c>
      <c r="F74">
        <v>0.26350859048821873</v>
      </c>
      <c r="G74">
        <v>-0.98325208100000006</v>
      </c>
      <c r="H74">
        <v>0.272246977</v>
      </c>
      <c r="I74">
        <f t="shared" si="4"/>
        <v>-0.71974349051178133</v>
      </c>
      <c r="J74">
        <f t="shared" si="5"/>
        <v>0.32744947057103907</v>
      </c>
      <c r="K74">
        <v>-0.95194763900000001</v>
      </c>
      <c r="L74">
        <v>-0.33342187699999998</v>
      </c>
      <c r="M74">
        <v>-1.2208396677130032E-2</v>
      </c>
      <c r="N74">
        <v>-1.285369516</v>
      </c>
      <c r="O74">
        <v>0.21663759899999999</v>
      </c>
      <c r="P74">
        <f t="shared" si="6"/>
        <v>-1.2975779126771301</v>
      </c>
      <c r="Q74">
        <f t="shared" si="7"/>
        <v>0.21457293249519674</v>
      </c>
      <c r="R74">
        <f>+AVERAGE(O74,H74)</f>
        <v>0.24444228800000001</v>
      </c>
      <c r="S74">
        <f>+AVERAGE(E74,L74)</f>
        <v>-0.27543303149999998</v>
      </c>
      <c r="T74">
        <f>+AVERAGE(G74,N74)</f>
        <v>-1.1343107985000001</v>
      </c>
      <c r="U74" s="1">
        <v>1.7000000000000001E-13</v>
      </c>
      <c r="V74" s="1">
        <v>3.0599999999999997E-36</v>
      </c>
      <c r="W74" s="1">
        <v>6.5100000000000004E-19</v>
      </c>
      <c r="X74">
        <v>1</v>
      </c>
    </row>
    <row r="75" spans="1:24" x14ac:dyDescent="0.25">
      <c r="A75" t="s">
        <v>395</v>
      </c>
      <c r="B75" t="s">
        <v>89</v>
      </c>
      <c r="C75" t="s">
        <v>260</v>
      </c>
      <c r="D75">
        <v>-0.76580789500000002</v>
      </c>
      <c r="E75">
        <v>-0.30216728799999998</v>
      </c>
      <c r="F75">
        <v>0.30158677788175303</v>
      </c>
      <c r="G75">
        <v>-1.0679751829999999</v>
      </c>
      <c r="H75">
        <v>0.25578833899999998</v>
      </c>
      <c r="I75">
        <f t="shared" si="4"/>
        <v>-0.76638840511824691</v>
      </c>
      <c r="J75">
        <f t="shared" si="5"/>
        <v>0.31726088407808245</v>
      </c>
      <c r="K75">
        <v>-0.95194763900000001</v>
      </c>
      <c r="L75">
        <v>-0.13996476099999999</v>
      </c>
      <c r="M75">
        <v>0.31251975382699121</v>
      </c>
      <c r="N75">
        <v>-1.0919124</v>
      </c>
      <c r="O75">
        <v>0.25125833199999997</v>
      </c>
      <c r="P75">
        <f t="shared" si="6"/>
        <v>-0.77939264617300874</v>
      </c>
      <c r="Q75">
        <f t="shared" si="7"/>
        <v>0.31445079947654681</v>
      </c>
      <c r="R75">
        <f>+AVERAGE(O75,H75)</f>
        <v>0.25352333549999995</v>
      </c>
      <c r="S75">
        <f>+AVERAGE(E75,L75)</f>
        <v>-0.22106602449999999</v>
      </c>
      <c r="T75">
        <f>+AVERAGE(G75,N75)</f>
        <v>-1.0799437914999999</v>
      </c>
      <c r="U75">
        <v>0.99991749200000002</v>
      </c>
      <c r="V75" s="1">
        <v>8.4600000000000004E-22</v>
      </c>
      <c r="W75">
        <v>7.9800000000000002E-5</v>
      </c>
      <c r="X75">
        <v>2.6599999999999999E-6</v>
      </c>
    </row>
    <row r="76" spans="1:24" x14ac:dyDescent="0.25">
      <c r="A76" t="s">
        <v>395</v>
      </c>
      <c r="B76" t="s">
        <v>81</v>
      </c>
      <c r="C76" t="s">
        <v>206</v>
      </c>
      <c r="D76">
        <v>-0.76580789500000002</v>
      </c>
      <c r="E76">
        <v>-0.24633927899999999</v>
      </c>
      <c r="F76">
        <v>1.8542134737425525E-2</v>
      </c>
      <c r="G76">
        <v>-1.012147173</v>
      </c>
      <c r="H76">
        <v>0.26655985599999998</v>
      </c>
      <c r="I76">
        <f t="shared" si="4"/>
        <v>-0.9936050392625746</v>
      </c>
      <c r="J76">
        <f t="shared" si="5"/>
        <v>0.27020060325276457</v>
      </c>
      <c r="K76">
        <v>-0.95194763900000001</v>
      </c>
      <c r="L76">
        <v>-0.45225388599999999</v>
      </c>
      <c r="M76">
        <v>8.7894785803348752E-2</v>
      </c>
      <c r="N76">
        <v>-1.404201525</v>
      </c>
      <c r="O76">
        <v>0.197150239</v>
      </c>
      <c r="P76">
        <f t="shared" si="6"/>
        <v>-1.3163067391966512</v>
      </c>
      <c r="Q76">
        <f t="shared" si="7"/>
        <v>0.21143341209323077</v>
      </c>
      <c r="R76">
        <f>+AVERAGE(O76,H76)</f>
        <v>0.23185504749999999</v>
      </c>
      <c r="S76">
        <f>+AVERAGE(E76,L76)</f>
        <v>-0.34929658250000001</v>
      </c>
      <c r="T76">
        <f>+AVERAGE(G76,N76)</f>
        <v>-1.2081743490000001</v>
      </c>
      <c r="U76" s="1">
        <v>2.9500000000000002E-10</v>
      </c>
      <c r="V76" s="1">
        <v>1.4600000000000001E-24</v>
      </c>
      <c r="W76" s="1">
        <v>3.1399999999999997E-14</v>
      </c>
      <c r="X76">
        <v>1</v>
      </c>
    </row>
    <row r="77" spans="1:24" x14ac:dyDescent="0.25">
      <c r="A77" t="s">
        <v>395</v>
      </c>
      <c r="B77" t="s">
        <v>38</v>
      </c>
      <c r="C77" t="s">
        <v>244</v>
      </c>
      <c r="D77">
        <v>-0.76580789500000002</v>
      </c>
      <c r="E77">
        <v>6.6432820000000004E-2</v>
      </c>
      <c r="F77">
        <v>-6.8234224002180349E-2</v>
      </c>
      <c r="G77">
        <v>-0.69937507399999999</v>
      </c>
      <c r="H77">
        <v>0.33195079599999999</v>
      </c>
      <c r="I77">
        <f t="shared" si="4"/>
        <v>-0.76760929900218045</v>
      </c>
      <c r="J77">
        <f t="shared" si="5"/>
        <v>0.31699648965074173</v>
      </c>
      <c r="K77">
        <v>-0.95194763900000001</v>
      </c>
      <c r="L77">
        <v>0.142493069</v>
      </c>
      <c r="M77">
        <v>0.23599397861893998</v>
      </c>
      <c r="N77">
        <v>-0.80945456999999998</v>
      </c>
      <c r="O77">
        <v>0.308006736</v>
      </c>
      <c r="P77">
        <f t="shared" si="6"/>
        <v>-0.57346059138105998</v>
      </c>
      <c r="Q77">
        <f t="shared" si="7"/>
        <v>0.36043869551036983</v>
      </c>
      <c r="R77">
        <f>+AVERAGE(O77,H77)</f>
        <v>0.31997876599999997</v>
      </c>
      <c r="S77">
        <f>+AVERAGE(E77,L77)</f>
        <v>0.1044629445</v>
      </c>
      <c r="T77">
        <f>+AVERAGE(G77,N77)</f>
        <v>-0.75441482199999998</v>
      </c>
      <c r="U77">
        <v>0.99948858299999999</v>
      </c>
      <c r="V77">
        <v>3.45E-6</v>
      </c>
      <c r="W77">
        <v>5.0796800000000003E-4</v>
      </c>
      <c r="X77" s="1">
        <v>9.9099999999999996E-12</v>
      </c>
    </row>
    <row r="78" spans="1:24" x14ac:dyDescent="0.25">
      <c r="A78" t="s">
        <v>395</v>
      </c>
      <c r="B78" t="s">
        <v>65</v>
      </c>
      <c r="C78" t="s">
        <v>66</v>
      </c>
      <c r="D78">
        <v>-0.76580789500000002</v>
      </c>
      <c r="E78">
        <v>-0.16301882400000001</v>
      </c>
      <c r="F78">
        <v>-0.24178949960145765</v>
      </c>
      <c r="G78">
        <v>-0.92882671900000002</v>
      </c>
      <c r="H78">
        <v>0.28316280799999999</v>
      </c>
      <c r="I78">
        <f t="shared" si="4"/>
        <v>-1.1706162186014577</v>
      </c>
      <c r="J78">
        <f t="shared" si="5"/>
        <v>0.23674361792639115</v>
      </c>
      <c r="K78">
        <v>-0.95194763900000001</v>
      </c>
      <c r="L78">
        <v>1.847022E-3</v>
      </c>
      <c r="M78">
        <v>0.1024183081098506</v>
      </c>
      <c r="N78">
        <v>-0.95010061800000001</v>
      </c>
      <c r="O78">
        <v>0.278864587</v>
      </c>
      <c r="P78">
        <f t="shared" si="6"/>
        <v>-0.84768230889014939</v>
      </c>
      <c r="Q78">
        <f t="shared" si="7"/>
        <v>0.29991927202252572</v>
      </c>
      <c r="R78">
        <f>+AVERAGE(O78,H78)</f>
        <v>0.28101369749999999</v>
      </c>
      <c r="S78">
        <f>+AVERAGE(E78,L78)</f>
        <v>-8.0585901000000001E-2</v>
      </c>
      <c r="T78">
        <f>+AVERAGE(G78,N78)</f>
        <v>-0.93946366849999996</v>
      </c>
      <c r="U78" s="1">
        <v>1.1399999999999999E-17</v>
      </c>
      <c r="V78" s="1">
        <v>3.87E-41</v>
      </c>
      <c r="W78" s="1">
        <v>1.8999999999999999E-20</v>
      </c>
      <c r="X78">
        <v>1</v>
      </c>
    </row>
    <row r="79" spans="1:24" x14ac:dyDescent="0.25">
      <c r="A79" t="s">
        <v>395</v>
      </c>
      <c r="B79" t="s">
        <v>65</v>
      </c>
      <c r="C79" t="s">
        <v>84</v>
      </c>
      <c r="D79">
        <v>-0.76580789500000002</v>
      </c>
      <c r="E79">
        <v>0.106893299</v>
      </c>
      <c r="F79">
        <v>-0.24178949960145765</v>
      </c>
      <c r="G79">
        <v>-0.65891459600000002</v>
      </c>
      <c r="H79">
        <v>0.34098347499999998</v>
      </c>
      <c r="I79">
        <f t="shared" si="4"/>
        <v>-0.9007040956014577</v>
      </c>
      <c r="J79">
        <f t="shared" si="5"/>
        <v>0.28890582700616463</v>
      </c>
      <c r="K79">
        <v>-0.95194763900000001</v>
      </c>
      <c r="L79">
        <v>0.254725274</v>
      </c>
      <c r="M79">
        <v>0.1024183081098506</v>
      </c>
      <c r="N79">
        <v>-0.69722236500000001</v>
      </c>
      <c r="O79">
        <v>0.33242835300000001</v>
      </c>
      <c r="P79">
        <f t="shared" si="6"/>
        <v>-0.59480405689014937</v>
      </c>
      <c r="Q79">
        <f t="shared" si="7"/>
        <v>0.35553334134687087</v>
      </c>
      <c r="R79">
        <f>+AVERAGE(O79,H79)</f>
        <v>0.336705914</v>
      </c>
      <c r="S79">
        <f>+AVERAGE(E79,L79)</f>
        <v>0.1808092865</v>
      </c>
      <c r="T79">
        <f>+AVERAGE(G79,N79)</f>
        <v>-0.67806848050000001</v>
      </c>
      <c r="U79" s="1">
        <v>6.2500000000000005E-17</v>
      </c>
      <c r="V79" s="1">
        <v>1.41E-39</v>
      </c>
      <c r="W79" s="1">
        <v>1.4699999999999999E-21</v>
      </c>
      <c r="X79">
        <v>1</v>
      </c>
    </row>
    <row r="80" spans="1:24" x14ac:dyDescent="0.25">
      <c r="A80" t="s">
        <v>395</v>
      </c>
      <c r="B80" t="s">
        <v>50</v>
      </c>
      <c r="C80" t="s">
        <v>185</v>
      </c>
      <c r="D80">
        <v>-0.76580789500000002</v>
      </c>
      <c r="E80">
        <v>-0.42701508500000002</v>
      </c>
      <c r="F80">
        <v>0.35462276651059182</v>
      </c>
      <c r="G80">
        <v>-1.192822979</v>
      </c>
      <c r="H80">
        <v>0.23275442800000001</v>
      </c>
      <c r="I80">
        <f t="shared" si="4"/>
        <v>-0.83820021348940821</v>
      </c>
      <c r="J80">
        <f t="shared" si="5"/>
        <v>0.30191397518143576</v>
      </c>
      <c r="K80">
        <v>-0.95194763900000001</v>
      </c>
      <c r="L80">
        <v>-0.55401254600000005</v>
      </c>
      <c r="M80">
        <v>0.53261546166894247</v>
      </c>
      <c r="N80">
        <v>-1.505960185</v>
      </c>
      <c r="O80">
        <v>0.181538265</v>
      </c>
      <c r="P80">
        <f t="shared" si="6"/>
        <v>-0.9733447233310577</v>
      </c>
      <c r="Q80">
        <f t="shared" si="7"/>
        <v>0.27421433012658325</v>
      </c>
      <c r="R80">
        <f>+AVERAGE(O80,H80)</f>
        <v>0.20714634650000002</v>
      </c>
      <c r="S80">
        <f>+AVERAGE(E80,L80)</f>
        <v>-0.49051381550000006</v>
      </c>
      <c r="T80">
        <f>+AVERAGE(G80,N80)</f>
        <v>-1.349391582</v>
      </c>
      <c r="U80" s="1">
        <v>8.7500000000000001E-13</v>
      </c>
      <c r="V80" s="1">
        <v>3.5299999999999998E-31</v>
      </c>
      <c r="W80" s="1">
        <v>9.7100000000000004E-15</v>
      </c>
      <c r="X80">
        <v>1</v>
      </c>
    </row>
    <row r="81" spans="1:24" x14ac:dyDescent="0.25">
      <c r="A81" t="s">
        <v>395</v>
      </c>
      <c r="B81" t="s">
        <v>50</v>
      </c>
      <c r="C81" t="s">
        <v>201</v>
      </c>
      <c r="D81">
        <v>-0.76580789500000002</v>
      </c>
      <c r="E81">
        <v>0.100685099</v>
      </c>
      <c r="F81">
        <v>0.35462276651059182</v>
      </c>
      <c r="G81">
        <v>-0.66512279600000002</v>
      </c>
      <c r="H81">
        <v>0.33958978699999998</v>
      </c>
      <c r="I81">
        <f t="shared" si="4"/>
        <v>-0.31050002948940819</v>
      </c>
      <c r="J81">
        <f t="shared" si="5"/>
        <v>0.42299269203623424</v>
      </c>
      <c r="K81">
        <v>-0.95194763900000001</v>
      </c>
      <c r="L81">
        <v>-0.35510267899999998</v>
      </c>
      <c r="M81">
        <v>0.53261546166894247</v>
      </c>
      <c r="N81">
        <v>-1.307050319</v>
      </c>
      <c r="O81">
        <v>0.212980851</v>
      </c>
      <c r="P81">
        <f t="shared" si="6"/>
        <v>-0.77443485633105746</v>
      </c>
      <c r="Q81">
        <f t="shared" si="7"/>
        <v>0.31552053951825543</v>
      </c>
      <c r="R81">
        <f>+AVERAGE(O81,H81)</f>
        <v>0.27628531899999997</v>
      </c>
      <c r="S81">
        <f>+AVERAGE(E81,L81)</f>
        <v>-0.12720878999999999</v>
      </c>
      <c r="T81">
        <f>+AVERAGE(G81,N81)</f>
        <v>-0.98608655749999996</v>
      </c>
      <c r="U81" s="1">
        <v>2.7499999999999999E-11</v>
      </c>
      <c r="V81" s="1">
        <v>2.3400000000000001E-36</v>
      </c>
      <c r="W81" s="1">
        <v>7.6500000000000002E-14</v>
      </c>
      <c r="X81">
        <v>1</v>
      </c>
    </row>
    <row r="82" spans="1:24" x14ac:dyDescent="0.25">
      <c r="A82" t="s">
        <v>395</v>
      </c>
      <c r="B82" t="s">
        <v>12</v>
      </c>
      <c r="C82" t="s">
        <v>157</v>
      </c>
      <c r="D82">
        <v>-0.76580789500000002</v>
      </c>
      <c r="E82">
        <v>0.30951424999999999</v>
      </c>
      <c r="F82">
        <v>0.26350859048821873</v>
      </c>
      <c r="G82">
        <v>-0.45629364500000003</v>
      </c>
      <c r="H82">
        <v>0.387865442</v>
      </c>
      <c r="I82">
        <f t="shared" si="4"/>
        <v>-0.1927850545117813</v>
      </c>
      <c r="J82">
        <f t="shared" si="5"/>
        <v>0.45195245583599408</v>
      </c>
      <c r="K82">
        <v>-0.95194763900000001</v>
      </c>
      <c r="L82">
        <v>0.25777898199999999</v>
      </c>
      <c r="M82">
        <v>-1.2208396677130032E-2</v>
      </c>
      <c r="N82">
        <v>-0.69416865800000005</v>
      </c>
      <c r="O82">
        <v>0.33310637700000001</v>
      </c>
      <c r="P82">
        <f t="shared" si="6"/>
        <v>-0.70637705367713011</v>
      </c>
      <c r="Q82">
        <f t="shared" si="7"/>
        <v>0.33039987253527359</v>
      </c>
      <c r="R82">
        <f>+AVERAGE(O82,H82)</f>
        <v>0.36048590950000003</v>
      </c>
      <c r="S82">
        <f>+AVERAGE(E82,L82)</f>
        <v>0.28364661599999996</v>
      </c>
      <c r="T82">
        <f>+AVERAGE(G82,N82)</f>
        <v>-0.57523115150000004</v>
      </c>
      <c r="U82" s="1">
        <v>2.3100000000000001E-14</v>
      </c>
      <c r="V82" s="1">
        <v>6.4800000000000001E-40</v>
      </c>
      <c r="W82" s="1">
        <v>9.5200000000000002E-19</v>
      </c>
      <c r="X82">
        <v>1</v>
      </c>
    </row>
    <row r="83" spans="1:24" x14ac:dyDescent="0.25">
      <c r="A83" t="s">
        <v>395</v>
      </c>
      <c r="B83" t="s">
        <v>35</v>
      </c>
      <c r="C83" t="s">
        <v>85</v>
      </c>
      <c r="D83">
        <v>-0.76580789500000002</v>
      </c>
      <c r="E83">
        <v>5.0013500000000002E-2</v>
      </c>
      <c r="F83">
        <v>0</v>
      </c>
      <c r="G83">
        <v>-0.71579439499999997</v>
      </c>
      <c r="H83">
        <v>0.32831975699999999</v>
      </c>
      <c r="I83">
        <f t="shared" si="4"/>
        <v>-0.71579439499999997</v>
      </c>
      <c r="J83">
        <f t="shared" si="5"/>
        <v>0.32831975722077383</v>
      </c>
      <c r="K83">
        <v>-0.95194763900000001</v>
      </c>
      <c r="L83">
        <v>1.9713644999999998E-2</v>
      </c>
      <c r="M83">
        <v>0</v>
      </c>
      <c r="N83">
        <v>-0.93223399399999995</v>
      </c>
      <c r="O83">
        <v>0.28247170500000002</v>
      </c>
      <c r="P83">
        <f t="shared" si="6"/>
        <v>-0.93223399400000007</v>
      </c>
      <c r="Q83">
        <f t="shared" si="7"/>
        <v>0.28247170542929995</v>
      </c>
      <c r="R83">
        <f>+AVERAGE(O83,H83)</f>
        <v>0.305395731</v>
      </c>
      <c r="S83">
        <f>+AVERAGE(E83,L83)</f>
        <v>3.4863572500000002E-2</v>
      </c>
      <c r="T83">
        <f>+AVERAGE(G83,N83)</f>
        <v>-0.82401419449999991</v>
      </c>
      <c r="U83" s="1">
        <v>8.62E-17</v>
      </c>
      <c r="V83" s="1">
        <v>2.5100000000000001E-35</v>
      </c>
      <c r="W83" s="1">
        <v>4.0299999999999999E-19</v>
      </c>
      <c r="X83">
        <v>1</v>
      </c>
    </row>
    <row r="84" spans="1:24" x14ac:dyDescent="0.25">
      <c r="A84" t="s">
        <v>395</v>
      </c>
      <c r="B84" t="s">
        <v>45</v>
      </c>
      <c r="C84" t="s">
        <v>130</v>
      </c>
      <c r="D84">
        <v>-0.76580789500000002</v>
      </c>
      <c r="E84">
        <v>7.8378117999999997E-2</v>
      </c>
      <c r="F84">
        <v>-0.58307157706059798</v>
      </c>
      <c r="G84">
        <v>-0.68742977699999996</v>
      </c>
      <c r="H84">
        <v>0.334605076</v>
      </c>
      <c r="I84">
        <f t="shared" si="4"/>
        <v>-1.2705013540605981</v>
      </c>
      <c r="J84">
        <f t="shared" si="5"/>
        <v>0.21917144062017077</v>
      </c>
      <c r="K84">
        <v>-0.95194763900000001</v>
      </c>
      <c r="L84">
        <v>0.17148735200000001</v>
      </c>
      <c r="M84">
        <v>-0.76434299473732881</v>
      </c>
      <c r="N84">
        <v>-0.78046028700000003</v>
      </c>
      <c r="O84">
        <v>0.31422069200000002</v>
      </c>
      <c r="P84">
        <f t="shared" si="6"/>
        <v>-1.5448032817373289</v>
      </c>
      <c r="Q84">
        <f t="shared" si="7"/>
        <v>0.17583810349769066</v>
      </c>
      <c r="R84">
        <f>+AVERAGE(O84,H84)</f>
        <v>0.32441288400000001</v>
      </c>
      <c r="S84">
        <f>+AVERAGE(E84,L84)</f>
        <v>0.124932735</v>
      </c>
      <c r="T84">
        <f>+AVERAGE(G84,N84)</f>
        <v>-0.73394503200000005</v>
      </c>
      <c r="U84" s="1">
        <v>3.3100000000000001E-15</v>
      </c>
      <c r="V84" s="1">
        <v>2.4799999999999999E-35</v>
      </c>
      <c r="W84" s="1">
        <v>3.64E-15</v>
      </c>
      <c r="X84">
        <v>1</v>
      </c>
    </row>
    <row r="85" spans="1:24" x14ac:dyDescent="0.25">
      <c r="A85" t="s">
        <v>395</v>
      </c>
      <c r="B85" t="s">
        <v>12</v>
      </c>
      <c r="C85" t="s">
        <v>216</v>
      </c>
      <c r="D85">
        <v>-0.76580789500000002</v>
      </c>
      <c r="E85">
        <v>9.1217523999999994E-2</v>
      </c>
      <c r="F85">
        <v>0.26350859048821873</v>
      </c>
      <c r="G85">
        <v>-0.67459037099999997</v>
      </c>
      <c r="H85">
        <v>0.33746974299999999</v>
      </c>
      <c r="I85">
        <f t="shared" si="4"/>
        <v>-0.41108178051178135</v>
      </c>
      <c r="J85">
        <f t="shared" si="5"/>
        <v>0.3986527588661255</v>
      </c>
      <c r="K85">
        <v>-0.95194763900000001</v>
      </c>
      <c r="L85">
        <v>0.12954622199999999</v>
      </c>
      <c r="M85">
        <v>-1.2208396677130032E-2</v>
      </c>
      <c r="N85">
        <v>-0.822401418</v>
      </c>
      <c r="O85">
        <v>0.30525414299999998</v>
      </c>
      <c r="P85">
        <f t="shared" si="6"/>
        <v>-0.83460981367713005</v>
      </c>
      <c r="Q85">
        <f t="shared" si="7"/>
        <v>0.30267123251776573</v>
      </c>
      <c r="R85">
        <f>+AVERAGE(O85,H85)</f>
        <v>0.32136194299999998</v>
      </c>
      <c r="S85">
        <f>+AVERAGE(E85,L85)</f>
        <v>0.11038187299999999</v>
      </c>
      <c r="T85">
        <f>+AVERAGE(G85,N85)</f>
        <v>-0.74849589449999998</v>
      </c>
      <c r="U85">
        <v>6.4014911999999993E-2</v>
      </c>
      <c r="V85" s="1">
        <v>1.72E-27</v>
      </c>
      <c r="W85">
        <v>0.93598508800000002</v>
      </c>
      <c r="X85" s="1">
        <v>5.0299999999999999E-17</v>
      </c>
    </row>
    <row r="86" spans="1:24" x14ac:dyDescent="0.25">
      <c r="A86" t="s">
        <v>395</v>
      </c>
      <c r="B86" t="s">
        <v>78</v>
      </c>
      <c r="C86" t="s">
        <v>202</v>
      </c>
      <c r="D86">
        <v>-0.76580789500000002</v>
      </c>
      <c r="E86">
        <v>0.59247576599999996</v>
      </c>
      <c r="F86">
        <v>-0.4387057682465787</v>
      </c>
      <c r="G86">
        <v>-0.173332129</v>
      </c>
      <c r="H86">
        <v>0.45677513400000003</v>
      </c>
      <c r="I86">
        <f t="shared" si="4"/>
        <v>-0.61203789724657875</v>
      </c>
      <c r="J86">
        <f t="shared" si="5"/>
        <v>0.35159446627883068</v>
      </c>
      <c r="K86">
        <v>-0.95194763900000001</v>
      </c>
      <c r="L86">
        <v>0.785811763</v>
      </c>
      <c r="M86">
        <v>-0.76684157506166817</v>
      </c>
      <c r="N86">
        <v>-0.16613587699999999</v>
      </c>
      <c r="O86">
        <v>0.45856130000000001</v>
      </c>
      <c r="P86">
        <f t="shared" si="6"/>
        <v>-0.93297745106166818</v>
      </c>
      <c r="Q86">
        <f t="shared" si="7"/>
        <v>0.28232104485288584</v>
      </c>
      <c r="R86">
        <f>+AVERAGE(O86,H86)</f>
        <v>0.45766821700000004</v>
      </c>
      <c r="S86">
        <f>+AVERAGE(E86,L86)</f>
        <v>0.68914376450000003</v>
      </c>
      <c r="T86">
        <f>+AVERAGE(G86,N86)</f>
        <v>-0.16973400299999999</v>
      </c>
      <c r="U86" s="1">
        <v>3.04E-11</v>
      </c>
      <c r="V86" s="1">
        <v>1.0000000000000001E-32</v>
      </c>
      <c r="W86" s="1">
        <v>6.7800000000000004E-13</v>
      </c>
      <c r="X86">
        <v>1</v>
      </c>
    </row>
    <row r="87" spans="1:24" x14ac:dyDescent="0.25">
      <c r="A87" t="s">
        <v>395</v>
      </c>
      <c r="B87" t="s">
        <v>45</v>
      </c>
      <c r="C87" t="s">
        <v>195</v>
      </c>
      <c r="D87">
        <v>-0.76580789500000002</v>
      </c>
      <c r="E87">
        <v>3.4446268000000002E-2</v>
      </c>
      <c r="F87">
        <v>-0.58307157706059798</v>
      </c>
      <c r="G87">
        <v>-0.73136162699999996</v>
      </c>
      <c r="H87">
        <v>0.32489599899999999</v>
      </c>
      <c r="I87">
        <f t="shared" si="4"/>
        <v>-1.3144332040605979</v>
      </c>
      <c r="J87">
        <f t="shared" si="5"/>
        <v>0.2117459542218417</v>
      </c>
      <c r="K87">
        <v>-0.95194763900000001</v>
      </c>
      <c r="L87">
        <v>-0.113310375</v>
      </c>
      <c r="M87">
        <v>-0.76434299473732881</v>
      </c>
      <c r="N87">
        <v>-1.0652580149999999</v>
      </c>
      <c r="O87">
        <v>0.25630592400000002</v>
      </c>
      <c r="P87">
        <f t="shared" si="6"/>
        <v>-1.8296010087373289</v>
      </c>
      <c r="Q87">
        <f t="shared" si="7"/>
        <v>0.13828581124538145</v>
      </c>
      <c r="R87">
        <f>+AVERAGE(O87,H87)</f>
        <v>0.29060096150000003</v>
      </c>
      <c r="S87">
        <f>+AVERAGE(E87,L87)</f>
        <v>-3.9432053500000001E-2</v>
      </c>
      <c r="T87">
        <f>+AVERAGE(G87,N87)</f>
        <v>-0.89830982100000001</v>
      </c>
      <c r="U87" s="1">
        <v>4.8900000000000004E-12</v>
      </c>
      <c r="V87" s="1">
        <v>3.19E-30</v>
      </c>
      <c r="W87" s="1">
        <v>4.4100000000000003E-14</v>
      </c>
      <c r="X87">
        <v>1</v>
      </c>
    </row>
    <row r="88" spans="1:24" x14ac:dyDescent="0.25">
      <c r="A88" t="s">
        <v>395</v>
      </c>
      <c r="B88" t="s">
        <v>48</v>
      </c>
      <c r="C88" t="s">
        <v>49</v>
      </c>
      <c r="D88">
        <v>-0.76580789500000002</v>
      </c>
      <c r="E88">
        <v>-0.20138467600000001</v>
      </c>
      <c r="F88">
        <v>0.55710350143866183</v>
      </c>
      <c r="G88">
        <v>-0.967192571</v>
      </c>
      <c r="H88">
        <v>0.27544043600000001</v>
      </c>
      <c r="I88">
        <f t="shared" si="4"/>
        <v>-0.41008906956133817</v>
      </c>
      <c r="J88">
        <f t="shared" si="5"/>
        <v>0.39889076413400909</v>
      </c>
      <c r="K88">
        <v>-0.95194763900000001</v>
      </c>
      <c r="L88">
        <v>-6.2281655999999998E-2</v>
      </c>
      <c r="M88">
        <v>1.025118027290626</v>
      </c>
      <c r="N88">
        <v>-1.0142292959999999</v>
      </c>
      <c r="O88">
        <v>0.26615298700000001</v>
      </c>
      <c r="P88">
        <f t="shared" si="6"/>
        <v>1.0888732290625924E-2</v>
      </c>
      <c r="Q88">
        <f t="shared" si="7"/>
        <v>0.50272215617678784</v>
      </c>
      <c r="R88">
        <f>+AVERAGE(O88,H88)</f>
        <v>0.27079671150000001</v>
      </c>
      <c r="S88">
        <f>+AVERAGE(E88,L88)</f>
        <v>-0.131833166</v>
      </c>
      <c r="T88">
        <f>+AVERAGE(G88,N88)</f>
        <v>-0.99071093349999995</v>
      </c>
      <c r="U88" s="1">
        <v>3.7499999999999998E-19</v>
      </c>
      <c r="V88" s="1">
        <v>3.6700000000000001E-44</v>
      </c>
      <c r="W88" s="1">
        <v>7.0699999999999996E-23</v>
      </c>
      <c r="X88">
        <v>1</v>
      </c>
    </row>
    <row r="89" spans="1:24" x14ac:dyDescent="0.25">
      <c r="A89" t="s">
        <v>395</v>
      </c>
      <c r="B89" t="s">
        <v>27</v>
      </c>
      <c r="C89" t="s">
        <v>223</v>
      </c>
      <c r="D89">
        <v>-0.76580789500000002</v>
      </c>
      <c r="E89">
        <v>9.3489681000000005E-2</v>
      </c>
      <c r="F89">
        <v>0.36676956185289034</v>
      </c>
      <c r="G89">
        <v>-0.67231821400000003</v>
      </c>
      <c r="H89">
        <v>0.33797794799999997</v>
      </c>
      <c r="I89">
        <f t="shared" si="4"/>
        <v>-0.30554865214710969</v>
      </c>
      <c r="J89">
        <f t="shared" si="5"/>
        <v>0.42420163257263765</v>
      </c>
      <c r="K89">
        <v>-0.95194763900000001</v>
      </c>
      <c r="L89">
        <v>7.5826168999999999E-2</v>
      </c>
      <c r="M89">
        <v>0.3511302049154727</v>
      </c>
      <c r="N89">
        <v>-0.87612147100000004</v>
      </c>
      <c r="O89">
        <v>0.29398215</v>
      </c>
      <c r="P89">
        <f t="shared" si="6"/>
        <v>-0.5249912650845272</v>
      </c>
      <c r="Q89">
        <f t="shared" si="7"/>
        <v>0.37168585161501916</v>
      </c>
      <c r="R89">
        <f>+AVERAGE(O89,H89)</f>
        <v>0.31598004899999999</v>
      </c>
      <c r="S89">
        <f>+AVERAGE(E89,L89)</f>
        <v>8.4657924999999995E-2</v>
      </c>
      <c r="T89">
        <f>+AVERAGE(G89,N89)</f>
        <v>-0.77421984249999998</v>
      </c>
      <c r="U89">
        <v>0.78810028499999996</v>
      </c>
      <c r="V89" s="1">
        <v>5.3300000000000003E-21</v>
      </c>
      <c r="W89">
        <v>0.21188304099999999</v>
      </c>
      <c r="X89">
        <v>1.6699999999999999E-5</v>
      </c>
    </row>
    <row r="90" spans="1:24" x14ac:dyDescent="0.25">
      <c r="A90" t="s">
        <v>395</v>
      </c>
      <c r="B90" t="s">
        <v>65</v>
      </c>
      <c r="C90" t="s">
        <v>117</v>
      </c>
      <c r="D90">
        <v>-0.76580789500000002</v>
      </c>
      <c r="E90">
        <v>-2.2707095E-2</v>
      </c>
      <c r="F90">
        <v>-0.24178949960145765</v>
      </c>
      <c r="G90">
        <v>-0.78851498900000005</v>
      </c>
      <c r="H90">
        <v>0.31248761899999999</v>
      </c>
      <c r="I90">
        <f t="shared" si="4"/>
        <v>-1.0303044896014577</v>
      </c>
      <c r="J90">
        <f t="shared" si="5"/>
        <v>0.26302507676480125</v>
      </c>
      <c r="K90">
        <v>-0.95194763900000001</v>
      </c>
      <c r="L90">
        <v>-0.16729967600000001</v>
      </c>
      <c r="M90">
        <v>0.1024183081098506</v>
      </c>
      <c r="N90">
        <v>-1.119247315</v>
      </c>
      <c r="O90">
        <v>0.24615092599999999</v>
      </c>
      <c r="P90">
        <f t="shared" si="6"/>
        <v>-1.0168290068901493</v>
      </c>
      <c r="Q90">
        <f t="shared" si="7"/>
        <v>0.26564553160025417</v>
      </c>
      <c r="R90">
        <f>+AVERAGE(O90,H90)</f>
        <v>0.27931927249999999</v>
      </c>
      <c r="S90">
        <f>+AVERAGE(E90,L90)</f>
        <v>-9.5003385500000009E-2</v>
      </c>
      <c r="T90">
        <f>+AVERAGE(G90,N90)</f>
        <v>-0.95388115200000001</v>
      </c>
      <c r="U90" s="1">
        <v>8.920000000000001E-16</v>
      </c>
      <c r="V90" s="1">
        <v>1.07E-37</v>
      </c>
      <c r="W90" s="1">
        <v>2.52E-21</v>
      </c>
      <c r="X90">
        <v>1</v>
      </c>
    </row>
    <row r="91" spans="1:24" x14ac:dyDescent="0.25">
      <c r="A91" t="s">
        <v>395</v>
      </c>
      <c r="B91" t="s">
        <v>89</v>
      </c>
      <c r="C91" t="s">
        <v>129</v>
      </c>
      <c r="D91">
        <v>-0.76580789500000002</v>
      </c>
      <c r="E91">
        <v>-0.124049509</v>
      </c>
      <c r="F91">
        <v>0.30158677788175303</v>
      </c>
      <c r="G91">
        <v>-0.88985740400000002</v>
      </c>
      <c r="H91">
        <v>0.29113925499999999</v>
      </c>
      <c r="I91">
        <f t="shared" si="4"/>
        <v>-0.58827062611824699</v>
      </c>
      <c r="J91">
        <f t="shared" si="5"/>
        <v>0.3570317512820676</v>
      </c>
      <c r="K91">
        <v>-0.95194763900000001</v>
      </c>
      <c r="L91">
        <v>0.16816238999999999</v>
      </c>
      <c r="M91">
        <v>0.31251975382699121</v>
      </c>
      <c r="N91">
        <v>-0.78378524900000002</v>
      </c>
      <c r="O91">
        <v>0.31350465199999999</v>
      </c>
      <c r="P91">
        <f t="shared" si="6"/>
        <v>-0.47126549517300881</v>
      </c>
      <c r="Q91">
        <f t="shared" si="7"/>
        <v>0.38431676164282658</v>
      </c>
      <c r="R91">
        <f>+AVERAGE(O91,H91)</f>
        <v>0.30232195350000002</v>
      </c>
      <c r="S91">
        <f>+AVERAGE(E91,L91)</f>
        <v>2.2056440499999996E-2</v>
      </c>
      <c r="T91">
        <f>+AVERAGE(G91,N91)</f>
        <v>-0.83682132649999996</v>
      </c>
      <c r="U91" s="1">
        <v>3.01E-15</v>
      </c>
      <c r="V91" s="1">
        <v>3.64E-26</v>
      </c>
      <c r="W91" s="1">
        <v>9.0200000000000009E-19</v>
      </c>
      <c r="X91">
        <v>1</v>
      </c>
    </row>
    <row r="92" spans="1:24" x14ac:dyDescent="0.25">
      <c r="A92" t="s">
        <v>395</v>
      </c>
      <c r="B92" t="s">
        <v>12</v>
      </c>
      <c r="C92" t="s">
        <v>173</v>
      </c>
      <c r="D92">
        <v>-0.76580789500000002</v>
      </c>
      <c r="E92">
        <v>0.13596361100000001</v>
      </c>
      <c r="F92">
        <v>0.26350859048821873</v>
      </c>
      <c r="G92">
        <v>-0.62984428400000003</v>
      </c>
      <c r="H92">
        <v>0.34754584700000002</v>
      </c>
      <c r="I92">
        <f t="shared" si="4"/>
        <v>-0.3663356935117813</v>
      </c>
      <c r="J92">
        <f t="shared" si="5"/>
        <v>0.40942674304494842</v>
      </c>
      <c r="K92">
        <v>-0.95194763900000001</v>
      </c>
      <c r="L92">
        <v>-3.8792172E-2</v>
      </c>
      <c r="M92">
        <v>-1.2208396677130032E-2</v>
      </c>
      <c r="N92">
        <v>-0.99073981200000005</v>
      </c>
      <c r="O92">
        <v>0.27076597600000002</v>
      </c>
      <c r="P92">
        <f t="shared" si="6"/>
        <v>-1.0029482076771301</v>
      </c>
      <c r="Q92">
        <f t="shared" si="7"/>
        <v>0.26836216357400533</v>
      </c>
      <c r="R92">
        <f>+AVERAGE(O92,H92)</f>
        <v>0.30915591149999999</v>
      </c>
      <c r="S92">
        <f>+AVERAGE(E92,L92)</f>
        <v>4.8585719500000006E-2</v>
      </c>
      <c r="T92">
        <f>+AVERAGE(G92,N92)</f>
        <v>-0.81029204799999999</v>
      </c>
      <c r="U92" s="1">
        <v>1.12E-13</v>
      </c>
      <c r="V92" s="1">
        <v>1.12E-36</v>
      </c>
      <c r="W92" s="1">
        <v>2.9500000000000002E-19</v>
      </c>
      <c r="X92">
        <v>1</v>
      </c>
    </row>
    <row r="93" spans="1:24" x14ac:dyDescent="0.25">
      <c r="A93" t="s">
        <v>395</v>
      </c>
      <c r="B93" t="s">
        <v>35</v>
      </c>
      <c r="C93" t="s">
        <v>108</v>
      </c>
      <c r="D93">
        <v>-0.76580789500000002</v>
      </c>
      <c r="E93">
        <v>2.1931722000000001E-2</v>
      </c>
      <c r="F93">
        <v>0</v>
      </c>
      <c r="G93">
        <v>-0.74387617299999997</v>
      </c>
      <c r="H93">
        <v>0.32215711400000002</v>
      </c>
      <c r="I93">
        <f t="shared" si="4"/>
        <v>-0.74387617299999997</v>
      </c>
      <c r="J93">
        <f t="shared" si="5"/>
        <v>0.32215711362911553</v>
      </c>
      <c r="K93">
        <v>-0.95194763900000001</v>
      </c>
      <c r="L93">
        <v>1.9713644999999998E-2</v>
      </c>
      <c r="M93">
        <v>0</v>
      </c>
      <c r="N93">
        <v>-0.93223399399999995</v>
      </c>
      <c r="O93">
        <v>0.28247170500000002</v>
      </c>
      <c r="P93">
        <f t="shared" si="6"/>
        <v>-0.93223399400000007</v>
      </c>
      <c r="Q93">
        <f t="shared" si="7"/>
        <v>0.28247170542929995</v>
      </c>
      <c r="R93">
        <f>+AVERAGE(O93,H93)</f>
        <v>0.30231440949999999</v>
      </c>
      <c r="S93">
        <f>+AVERAGE(E93,L93)</f>
        <v>2.0822683500000001E-2</v>
      </c>
      <c r="T93">
        <f>+AVERAGE(G93,N93)</f>
        <v>-0.83805508350000002</v>
      </c>
      <c r="U93" s="1">
        <v>5.9100000000000004E-16</v>
      </c>
      <c r="V93" s="1">
        <v>1.37E-39</v>
      </c>
      <c r="W93" s="1">
        <v>4.7799999999999998E-16</v>
      </c>
      <c r="X93">
        <v>1</v>
      </c>
    </row>
    <row r="94" spans="1:24" x14ac:dyDescent="0.25">
      <c r="A94" t="s">
        <v>395</v>
      </c>
      <c r="B94" t="s">
        <v>58</v>
      </c>
      <c r="C94" t="s">
        <v>60</v>
      </c>
      <c r="D94">
        <v>-0.76580789500000002</v>
      </c>
      <c r="E94">
        <v>0.221510233</v>
      </c>
      <c r="F94">
        <v>6.292627996845801E-2</v>
      </c>
      <c r="G94">
        <v>-0.54429766199999996</v>
      </c>
      <c r="H94">
        <v>0.36718840400000002</v>
      </c>
      <c r="I94">
        <f t="shared" si="4"/>
        <v>-0.48137138203154195</v>
      </c>
      <c r="J94">
        <f t="shared" si="5"/>
        <v>0.38192834566788492</v>
      </c>
      <c r="K94">
        <v>-0.95194763900000001</v>
      </c>
      <c r="L94">
        <v>0.23430886100000001</v>
      </c>
      <c r="M94">
        <v>0.54289824242765494</v>
      </c>
      <c r="N94">
        <v>-0.71763877799999998</v>
      </c>
      <c r="O94">
        <v>0.32791315199999999</v>
      </c>
      <c r="P94">
        <f t="shared" si="6"/>
        <v>-0.17474053557234503</v>
      </c>
      <c r="Q94">
        <f t="shared" si="7"/>
        <v>0.45642568549114904</v>
      </c>
      <c r="R94">
        <f>+AVERAGE(O94,H94)</f>
        <v>0.347550778</v>
      </c>
      <c r="S94">
        <f>+AVERAGE(E94,L94)</f>
        <v>0.22790954699999999</v>
      </c>
      <c r="T94">
        <f>+AVERAGE(G94,N94)</f>
        <v>-0.63096821999999997</v>
      </c>
      <c r="U94" s="1">
        <v>3.9900000000000003E-18</v>
      </c>
      <c r="V94" s="1">
        <v>1.2099999999999999E-37</v>
      </c>
      <c r="W94" s="1">
        <v>4.8499999999999999E-24</v>
      </c>
      <c r="X94">
        <v>1</v>
      </c>
    </row>
    <row r="95" spans="1:24" x14ac:dyDescent="0.25">
      <c r="A95" t="s">
        <v>395</v>
      </c>
      <c r="B95" t="s">
        <v>42</v>
      </c>
      <c r="C95" t="s">
        <v>86</v>
      </c>
      <c r="D95">
        <v>-0.76580789500000002</v>
      </c>
      <c r="E95">
        <v>9.0548575000000006E-2</v>
      </c>
      <c r="F95">
        <v>-4.9441097480157715E-2</v>
      </c>
      <c r="G95">
        <v>-0.67525932</v>
      </c>
      <c r="H95">
        <v>0.33732019299999999</v>
      </c>
      <c r="I95">
        <f t="shared" si="4"/>
        <v>-0.72470041748015768</v>
      </c>
      <c r="J95">
        <f t="shared" si="5"/>
        <v>0.3263587599524358</v>
      </c>
      <c r="K95">
        <v>-0.95194763900000001</v>
      </c>
      <c r="L95">
        <v>0.25068571899999997</v>
      </c>
      <c r="M95">
        <v>0.143403965745907</v>
      </c>
      <c r="N95">
        <v>-0.70126192099999995</v>
      </c>
      <c r="O95">
        <v>0.33153250299999998</v>
      </c>
      <c r="P95">
        <f t="shared" si="6"/>
        <v>-0.55785795425409312</v>
      </c>
      <c r="Q95">
        <f t="shared" si="7"/>
        <v>0.36404323249031895</v>
      </c>
      <c r="R95">
        <f>+AVERAGE(O95,H95)</f>
        <v>0.33442634799999998</v>
      </c>
      <c r="S95">
        <f>+AVERAGE(E95,L95)</f>
        <v>0.170617147</v>
      </c>
      <c r="T95">
        <f>+AVERAGE(G95,N95)</f>
        <v>-0.68826062049999992</v>
      </c>
      <c r="U95" s="1">
        <v>9.1899999999999999E-17</v>
      </c>
      <c r="V95" s="1">
        <v>2.7099999999999999E-41</v>
      </c>
      <c r="W95" s="1">
        <v>9.1699999999999997E-23</v>
      </c>
      <c r="X95">
        <v>1</v>
      </c>
    </row>
    <row r="96" spans="1:24" x14ac:dyDescent="0.25">
      <c r="A96" t="s">
        <v>395</v>
      </c>
      <c r="B96" t="s">
        <v>12</v>
      </c>
      <c r="C96" t="s">
        <v>149</v>
      </c>
      <c r="D96">
        <v>-0.76580789500000002</v>
      </c>
      <c r="E96">
        <v>0.31905061299999998</v>
      </c>
      <c r="F96">
        <v>0.26350859048821873</v>
      </c>
      <c r="G96">
        <v>-0.44675728100000001</v>
      </c>
      <c r="H96">
        <v>0.39013202699999999</v>
      </c>
      <c r="I96">
        <f t="shared" si="4"/>
        <v>-0.1832486915117813</v>
      </c>
      <c r="J96">
        <f t="shared" si="5"/>
        <v>0.45431559613686684</v>
      </c>
      <c r="K96">
        <v>-0.95194763900000001</v>
      </c>
      <c r="L96">
        <v>0.28909482199999997</v>
      </c>
      <c r="M96">
        <v>-1.2208396677130032E-2</v>
      </c>
      <c r="N96">
        <v>-0.66285281699999998</v>
      </c>
      <c r="O96">
        <v>0.34009905699999998</v>
      </c>
      <c r="P96">
        <f t="shared" si="6"/>
        <v>-0.67506121367713012</v>
      </c>
      <c r="Q96">
        <f t="shared" si="7"/>
        <v>0.33736447839531669</v>
      </c>
      <c r="R96">
        <f>+AVERAGE(O96,H96)</f>
        <v>0.36511554199999996</v>
      </c>
      <c r="S96">
        <f>+AVERAGE(E96,L96)</f>
        <v>0.30407271749999998</v>
      </c>
      <c r="T96">
        <f>+AVERAGE(G96,N96)</f>
        <v>-0.55480504900000005</v>
      </c>
      <c r="U96" s="1">
        <v>1.3499999999999999E-14</v>
      </c>
      <c r="V96" s="1">
        <v>9.9999999999999997E-29</v>
      </c>
      <c r="W96" s="1">
        <v>2.9E-19</v>
      </c>
      <c r="X96">
        <v>1</v>
      </c>
    </row>
    <row r="97" spans="1:24" x14ac:dyDescent="0.25">
      <c r="A97" t="s">
        <v>395</v>
      </c>
      <c r="B97" t="s">
        <v>35</v>
      </c>
      <c r="C97" t="s">
        <v>118</v>
      </c>
      <c r="D97">
        <v>-0.76580789500000002</v>
      </c>
      <c r="E97">
        <v>-0.23138514900000001</v>
      </c>
      <c r="F97">
        <v>0</v>
      </c>
      <c r="G97">
        <v>-0.99719304399999997</v>
      </c>
      <c r="H97">
        <v>0.26949366000000002</v>
      </c>
      <c r="I97">
        <f t="shared" si="4"/>
        <v>-0.99719304400000008</v>
      </c>
      <c r="J97">
        <f t="shared" si="5"/>
        <v>0.26949366021933635</v>
      </c>
      <c r="K97">
        <v>-0.95194763900000001</v>
      </c>
      <c r="L97">
        <v>-0.19143247599999999</v>
      </c>
      <c r="M97">
        <v>0</v>
      </c>
      <c r="N97">
        <v>-1.143380115</v>
      </c>
      <c r="O97">
        <v>0.241700308</v>
      </c>
      <c r="P97">
        <f t="shared" si="6"/>
        <v>-1.143380115</v>
      </c>
      <c r="Q97">
        <f t="shared" si="7"/>
        <v>0.24170030846177532</v>
      </c>
      <c r="R97">
        <f>+AVERAGE(O97,H97)</f>
        <v>0.25559698400000003</v>
      </c>
      <c r="S97">
        <f>+AVERAGE(E97,L97)</f>
        <v>-0.21140881249999999</v>
      </c>
      <c r="T97">
        <f>+AVERAGE(G97,N97)</f>
        <v>-1.0702865795000001</v>
      </c>
      <c r="U97" s="1">
        <v>9.9700000000000003E-16</v>
      </c>
      <c r="V97" s="1">
        <v>3.7600000000000002E-36</v>
      </c>
      <c r="W97" s="1">
        <v>1.3599999999999999E-16</v>
      </c>
      <c r="X97">
        <v>1</v>
      </c>
    </row>
    <row r="98" spans="1:24" x14ac:dyDescent="0.25">
      <c r="A98" t="s">
        <v>395</v>
      </c>
      <c r="B98" t="s">
        <v>29</v>
      </c>
      <c r="C98" t="s">
        <v>182</v>
      </c>
      <c r="D98">
        <v>-0.76580789500000002</v>
      </c>
      <c r="E98">
        <v>-7.8298342000000007E-2</v>
      </c>
      <c r="F98">
        <v>0.20639898313457225</v>
      </c>
      <c r="G98">
        <v>-0.84410623699999998</v>
      </c>
      <c r="H98">
        <v>0.30067066799999997</v>
      </c>
      <c r="I98">
        <f t="shared" si="4"/>
        <v>-0.6377072538654277</v>
      </c>
      <c r="J98">
        <f t="shared" si="5"/>
        <v>0.34576500151891615</v>
      </c>
      <c r="K98">
        <v>-0.95194763900000001</v>
      </c>
      <c r="L98">
        <v>-0.156820035</v>
      </c>
      <c r="M98">
        <v>0.1319356394463834</v>
      </c>
      <c r="N98">
        <v>-1.1087676740000001</v>
      </c>
      <c r="O98">
        <v>0.24810070400000001</v>
      </c>
      <c r="P98">
        <f t="shared" si="6"/>
        <v>-0.97683203455361667</v>
      </c>
      <c r="Q98">
        <f t="shared" si="7"/>
        <v>0.27352082930303984</v>
      </c>
      <c r="R98">
        <f>+AVERAGE(O98,H98)</f>
        <v>0.27438568600000002</v>
      </c>
      <c r="S98">
        <f>+AVERAGE(E98,L98)</f>
        <v>-0.11755918849999999</v>
      </c>
      <c r="T98">
        <f>+AVERAGE(G98,N98)</f>
        <v>-0.97643695550000009</v>
      </c>
      <c r="U98" s="1">
        <v>2.8999999999999998E-13</v>
      </c>
      <c r="V98" s="1">
        <v>9.1699999999999994E-36</v>
      </c>
      <c r="W98" s="1">
        <v>9.68E-20</v>
      </c>
      <c r="X98">
        <v>1</v>
      </c>
    </row>
    <row r="99" spans="1:24" x14ac:dyDescent="0.25">
      <c r="A99" t="s">
        <v>395</v>
      </c>
      <c r="B99" t="s">
        <v>89</v>
      </c>
      <c r="C99" t="s">
        <v>203</v>
      </c>
      <c r="D99">
        <v>-0.76580789500000002</v>
      </c>
      <c r="E99">
        <v>8.1096281000000006E-2</v>
      </c>
      <c r="F99">
        <v>0.30158677788175303</v>
      </c>
      <c r="G99">
        <v>-0.68471161400000002</v>
      </c>
      <c r="H99">
        <v>0.33521053200000001</v>
      </c>
      <c r="I99">
        <f t="shared" si="4"/>
        <v>-0.38312483611824699</v>
      </c>
      <c r="J99">
        <f t="shared" si="5"/>
        <v>0.40537344621934573</v>
      </c>
      <c r="K99">
        <v>-0.95194763900000001</v>
      </c>
      <c r="L99">
        <v>0.25662238799999998</v>
      </c>
      <c r="M99">
        <v>0.31251975382699121</v>
      </c>
      <c r="N99">
        <v>-0.69532525099999998</v>
      </c>
      <c r="O99">
        <v>0.332849493</v>
      </c>
      <c r="P99">
        <f t="shared" si="6"/>
        <v>-0.38280549717300888</v>
      </c>
      <c r="Q99">
        <f t="shared" si="7"/>
        <v>0.40545042386121588</v>
      </c>
      <c r="R99">
        <f>+AVERAGE(O99,H99)</f>
        <v>0.33403001249999997</v>
      </c>
      <c r="S99">
        <f>+AVERAGE(E99,L99)</f>
        <v>0.16885933449999999</v>
      </c>
      <c r="T99">
        <f>+AVERAGE(G99,N99)</f>
        <v>-0.69001843250000006</v>
      </c>
      <c r="U99" s="1">
        <v>1.8299999999999999E-10</v>
      </c>
      <c r="V99" s="1">
        <v>3.7999999999999998E-29</v>
      </c>
      <c r="W99" s="1">
        <v>7.6999999999999994E-17</v>
      </c>
      <c r="X99">
        <v>1</v>
      </c>
    </row>
    <row r="100" spans="1:24" x14ac:dyDescent="0.25">
      <c r="A100" t="s">
        <v>395</v>
      </c>
      <c r="B100" t="s">
        <v>27</v>
      </c>
      <c r="C100" t="s">
        <v>28</v>
      </c>
      <c r="D100">
        <v>-0.76580789500000002</v>
      </c>
      <c r="E100">
        <v>-0.470311125</v>
      </c>
      <c r="F100">
        <v>0.36676956185289034</v>
      </c>
      <c r="G100">
        <v>-1.2361190200000001</v>
      </c>
      <c r="H100">
        <v>0.22511224899999999</v>
      </c>
      <c r="I100">
        <f t="shared" si="4"/>
        <v>-0.86934945814710973</v>
      </c>
      <c r="J100">
        <f t="shared" si="5"/>
        <v>0.29538968425722512</v>
      </c>
      <c r="K100">
        <v>-0.95194763900000001</v>
      </c>
      <c r="L100">
        <v>-0.74015545299999996</v>
      </c>
      <c r="M100">
        <v>0.3511302049154727</v>
      </c>
      <c r="N100">
        <v>-1.692103092</v>
      </c>
      <c r="O100">
        <v>0.155499463</v>
      </c>
      <c r="P100">
        <f t="shared" si="6"/>
        <v>-1.3409728870845272</v>
      </c>
      <c r="Q100">
        <f t="shared" si="7"/>
        <v>0.20735011316113805</v>
      </c>
      <c r="R100">
        <f>+AVERAGE(O100,H100)</f>
        <v>0.190305856</v>
      </c>
      <c r="S100">
        <f>+AVERAGE(E100,L100)</f>
        <v>-0.60523328899999995</v>
      </c>
      <c r="T100">
        <f>+AVERAGE(G100,N100)</f>
        <v>-1.4641110560000001</v>
      </c>
      <c r="U100" s="1">
        <v>1.3099999999999999E-43</v>
      </c>
      <c r="V100">
        <v>1</v>
      </c>
      <c r="W100" s="1">
        <v>1.85E-47</v>
      </c>
      <c r="X100" s="1">
        <v>4.2799999999999998E-47</v>
      </c>
    </row>
    <row r="101" spans="1:24" x14ac:dyDescent="0.25">
      <c r="A101" t="s">
        <v>395</v>
      </c>
      <c r="B101" t="s">
        <v>54</v>
      </c>
      <c r="C101" t="s">
        <v>152</v>
      </c>
      <c r="D101">
        <v>-0.76580789500000002</v>
      </c>
      <c r="E101">
        <v>0.62890270599999998</v>
      </c>
      <c r="F101">
        <v>0.10108352689561931</v>
      </c>
      <c r="G101">
        <v>-0.13690518900000001</v>
      </c>
      <c r="H101">
        <v>0.46582706200000001</v>
      </c>
      <c r="I101">
        <f t="shared" si="4"/>
        <v>-3.582166210438073E-2</v>
      </c>
      <c r="J101">
        <f t="shared" si="5"/>
        <v>0.49104554197711126</v>
      </c>
      <c r="K101">
        <v>-0.95194763900000001</v>
      </c>
      <c r="L101">
        <v>0.59795918999999997</v>
      </c>
      <c r="M101">
        <v>0.31611013044056913</v>
      </c>
      <c r="N101">
        <v>-0.35398844899999998</v>
      </c>
      <c r="O101">
        <v>0.41241556800000001</v>
      </c>
      <c r="P101">
        <f t="shared" si="6"/>
        <v>-3.7878318559430912E-2</v>
      </c>
      <c r="Q101">
        <f t="shared" si="7"/>
        <v>0.49053155241776292</v>
      </c>
      <c r="R101">
        <f>+AVERAGE(O101,H101)</f>
        <v>0.43912131500000001</v>
      </c>
      <c r="S101">
        <f>+AVERAGE(E101,L101)</f>
        <v>0.61343094799999998</v>
      </c>
      <c r="T101">
        <f>+AVERAGE(G101,N101)</f>
        <v>-0.24544681899999998</v>
      </c>
      <c r="U101" s="1">
        <v>1.7900000000000001E-14</v>
      </c>
      <c r="V101" s="1">
        <v>6.2699999999999998E-35</v>
      </c>
      <c r="W101" s="1">
        <v>2.4100000000000001E-19</v>
      </c>
      <c r="X101">
        <v>1</v>
      </c>
    </row>
    <row r="102" spans="1:24" x14ac:dyDescent="0.25">
      <c r="A102" t="s">
        <v>395</v>
      </c>
      <c r="B102" t="s">
        <v>78</v>
      </c>
      <c r="C102" t="s">
        <v>79</v>
      </c>
      <c r="D102">
        <v>-0.76580789500000002</v>
      </c>
      <c r="E102">
        <v>0.1443101</v>
      </c>
      <c r="F102">
        <v>-0.4387057682465787</v>
      </c>
      <c r="G102">
        <v>-0.62149779500000002</v>
      </c>
      <c r="H102">
        <v>0.34944087800000001</v>
      </c>
      <c r="I102">
        <f t="shared" si="4"/>
        <v>-1.0602035632465787</v>
      </c>
      <c r="J102">
        <f t="shared" si="5"/>
        <v>0.25727055541829003</v>
      </c>
      <c r="K102">
        <v>-0.95194763900000001</v>
      </c>
      <c r="L102">
        <v>-6.0978222999999998E-2</v>
      </c>
      <c r="M102">
        <v>-0.76684157506166817</v>
      </c>
      <c r="N102">
        <v>-1.0129258619999999</v>
      </c>
      <c r="O102">
        <v>0.26640764500000003</v>
      </c>
      <c r="P102">
        <f t="shared" si="6"/>
        <v>-1.7797674370616681</v>
      </c>
      <c r="Q102">
        <f t="shared" si="7"/>
        <v>0.14433185327715692</v>
      </c>
      <c r="R102">
        <f>+AVERAGE(O102,H102)</f>
        <v>0.30792426150000002</v>
      </c>
      <c r="S102">
        <f>+AVERAGE(E102,L102)</f>
        <v>4.1665938499999999E-2</v>
      </c>
      <c r="T102">
        <f>+AVERAGE(G102,N102)</f>
        <v>-0.81721182849999996</v>
      </c>
      <c r="U102" s="1">
        <v>3.9700000000000003E-17</v>
      </c>
      <c r="V102" s="1">
        <v>6.0799999999999995E-42</v>
      </c>
      <c r="W102" s="1">
        <v>2.3499999999999998E-18</v>
      </c>
      <c r="X102">
        <v>1</v>
      </c>
    </row>
    <row r="103" spans="1:24" x14ac:dyDescent="0.25">
      <c r="A103" t="s">
        <v>395</v>
      </c>
      <c r="B103" t="s">
        <v>54</v>
      </c>
      <c r="C103" t="s">
        <v>257</v>
      </c>
      <c r="D103">
        <v>-0.76580789500000002</v>
      </c>
      <c r="E103">
        <v>-0.15916804500000001</v>
      </c>
      <c r="F103">
        <v>0.10108352689561931</v>
      </c>
      <c r="G103">
        <v>-0.92497594000000005</v>
      </c>
      <c r="H103">
        <v>0.28394509800000001</v>
      </c>
      <c r="I103">
        <f t="shared" si="4"/>
        <v>-0.82389241310438077</v>
      </c>
      <c r="J103">
        <f t="shared" si="5"/>
        <v>0.30493803388239016</v>
      </c>
      <c r="K103">
        <v>-0.95194763900000001</v>
      </c>
      <c r="L103">
        <v>-4.7902749000000001E-2</v>
      </c>
      <c r="M103">
        <v>0.31611013044056913</v>
      </c>
      <c r="N103">
        <v>-0.99985038800000003</v>
      </c>
      <c r="O103">
        <v>0.26897083799999999</v>
      </c>
      <c r="P103">
        <f t="shared" si="6"/>
        <v>-0.68374025755943091</v>
      </c>
      <c r="Q103">
        <f t="shared" si="7"/>
        <v>0.33542702776456729</v>
      </c>
      <c r="R103">
        <f>+AVERAGE(O103,H103)</f>
        <v>0.276457968</v>
      </c>
      <c r="S103">
        <f>+AVERAGE(E103,L103)</f>
        <v>-0.103535397</v>
      </c>
      <c r="T103">
        <f>+AVERAGE(G103,N103)</f>
        <v>-0.96241316399999999</v>
      </c>
      <c r="U103">
        <v>0.999845023</v>
      </c>
      <c r="V103" s="1">
        <v>9.4999999999999994E-22</v>
      </c>
      <c r="W103">
        <v>1.5497699999999999E-4</v>
      </c>
      <c r="X103" s="1">
        <v>4.6999999999999999E-11</v>
      </c>
    </row>
    <row r="104" spans="1:24" x14ac:dyDescent="0.25">
      <c r="A104" t="s">
        <v>395</v>
      </c>
      <c r="B104" t="s">
        <v>45</v>
      </c>
      <c r="C104" t="s">
        <v>105</v>
      </c>
      <c r="D104">
        <v>-0.76580789500000002</v>
      </c>
      <c r="E104">
        <v>-0.17521094500000001</v>
      </c>
      <c r="F104">
        <v>-0.58307157706059798</v>
      </c>
      <c r="G104">
        <v>-0.94101884000000002</v>
      </c>
      <c r="H104">
        <v>0.28069458800000002</v>
      </c>
      <c r="I104">
        <f t="shared" si="4"/>
        <v>-1.524090417060598</v>
      </c>
      <c r="J104">
        <f t="shared" si="5"/>
        <v>0.17885997425205569</v>
      </c>
      <c r="K104">
        <v>-0.95194763900000001</v>
      </c>
      <c r="L104">
        <v>-0.113310375</v>
      </c>
      <c r="M104">
        <v>-0.76434299473732881</v>
      </c>
      <c r="N104">
        <v>-1.0652580149999999</v>
      </c>
      <c r="O104">
        <v>0.25630592400000002</v>
      </c>
      <c r="P104">
        <f t="shared" si="6"/>
        <v>-1.8296010087373289</v>
      </c>
      <c r="Q104">
        <f t="shared" si="7"/>
        <v>0.13828581124538145</v>
      </c>
      <c r="R104">
        <f>+AVERAGE(O104,H104)</f>
        <v>0.26850025600000005</v>
      </c>
      <c r="S104">
        <f>+AVERAGE(E104,L104)</f>
        <v>-0.14426066000000001</v>
      </c>
      <c r="T104">
        <f>+AVERAGE(G104,N104)</f>
        <v>-1.0031384274999999</v>
      </c>
      <c r="U104" s="1">
        <v>4.4100000000000002E-16</v>
      </c>
      <c r="V104" s="1">
        <v>3.4800000000000002E-38</v>
      </c>
      <c r="W104" s="1">
        <v>7.3500000000000003E-21</v>
      </c>
      <c r="X104">
        <v>1</v>
      </c>
    </row>
    <row r="105" spans="1:24" x14ac:dyDescent="0.25">
      <c r="A105" t="s">
        <v>395</v>
      </c>
      <c r="B105" t="s">
        <v>50</v>
      </c>
      <c r="C105" t="s">
        <v>192</v>
      </c>
      <c r="D105">
        <v>-0.76580789500000002</v>
      </c>
      <c r="E105">
        <v>-0.15546199899999999</v>
      </c>
      <c r="F105">
        <v>0.35462276651059182</v>
      </c>
      <c r="G105">
        <v>-0.92126989299999995</v>
      </c>
      <c r="H105">
        <v>0.28469921500000001</v>
      </c>
      <c r="I105">
        <f t="shared" si="4"/>
        <v>-0.56664712748940826</v>
      </c>
      <c r="J105">
        <f t="shared" si="5"/>
        <v>0.36201084207553869</v>
      </c>
      <c r="K105">
        <v>-0.95194763900000001</v>
      </c>
      <c r="L105">
        <v>-0.38735508800000001</v>
      </c>
      <c r="M105">
        <v>0.53261546166894247</v>
      </c>
      <c r="N105">
        <v>-1.3393027280000001</v>
      </c>
      <c r="O105">
        <v>0.207624748</v>
      </c>
      <c r="P105">
        <f t="shared" si="6"/>
        <v>-0.8066872653310575</v>
      </c>
      <c r="Q105">
        <f t="shared" si="7"/>
        <v>0.30859686827058375</v>
      </c>
      <c r="R105">
        <f>+AVERAGE(O105,H105)</f>
        <v>0.24616198150000002</v>
      </c>
      <c r="S105">
        <f>+AVERAGE(E105,L105)</f>
        <v>-0.27140854349999999</v>
      </c>
      <c r="T105">
        <f>+AVERAGE(G105,N105)</f>
        <v>-1.1302863105000001</v>
      </c>
      <c r="U105" s="1">
        <v>2.41E-12</v>
      </c>
      <c r="V105" s="1">
        <v>6.8000000000000001E-33</v>
      </c>
      <c r="W105" s="1">
        <v>3.4100000000000002E-16</v>
      </c>
      <c r="X105">
        <v>1</v>
      </c>
    </row>
    <row r="106" spans="1:24" x14ac:dyDescent="0.25">
      <c r="A106" t="s">
        <v>395</v>
      </c>
      <c r="B106" t="s">
        <v>50</v>
      </c>
      <c r="C106" t="s">
        <v>246</v>
      </c>
      <c r="D106">
        <v>-0.76580789500000002</v>
      </c>
      <c r="E106">
        <v>-0.106481205</v>
      </c>
      <c r="F106">
        <v>0.35462276651059182</v>
      </c>
      <c r="G106">
        <v>-0.87228910000000004</v>
      </c>
      <c r="H106">
        <v>0.29477821100000001</v>
      </c>
      <c r="I106">
        <f t="shared" si="4"/>
        <v>-0.51766633348940827</v>
      </c>
      <c r="J106">
        <f t="shared" si="5"/>
        <v>0.37339808468512159</v>
      </c>
      <c r="K106">
        <v>-0.95194763900000001</v>
      </c>
      <c r="L106">
        <v>-0.29152899999999998</v>
      </c>
      <c r="M106">
        <v>0.53261546166894247</v>
      </c>
      <c r="N106">
        <v>-1.2434766390000001</v>
      </c>
      <c r="O106">
        <v>0.22383140600000001</v>
      </c>
      <c r="P106">
        <f t="shared" si="6"/>
        <v>-0.71086117733105758</v>
      </c>
      <c r="Q106">
        <f t="shared" si="7"/>
        <v>0.32940857941322615</v>
      </c>
      <c r="R106">
        <f>+AVERAGE(O106,H106)</f>
        <v>0.25930480850000004</v>
      </c>
      <c r="S106">
        <f>+AVERAGE(E106,L106)</f>
        <v>-0.19900510249999998</v>
      </c>
      <c r="T106">
        <f>+AVERAGE(G106,N106)</f>
        <v>-1.0578828695</v>
      </c>
      <c r="U106">
        <v>0.99951634899999997</v>
      </c>
      <c r="V106" s="1">
        <v>3.8299999999999998E-24</v>
      </c>
      <c r="W106">
        <v>4.8347599999999999E-4</v>
      </c>
      <c r="X106">
        <v>1.7499999999999999E-7</v>
      </c>
    </row>
    <row r="107" spans="1:24" x14ac:dyDescent="0.25">
      <c r="A107" t="s">
        <v>395</v>
      </c>
      <c r="B107" t="s">
        <v>54</v>
      </c>
      <c r="C107" t="s">
        <v>71</v>
      </c>
      <c r="D107">
        <v>-0.76580789500000002</v>
      </c>
      <c r="E107">
        <v>0.117221965</v>
      </c>
      <c r="F107">
        <v>0.10108352689561931</v>
      </c>
      <c r="G107">
        <v>-0.64858592999999998</v>
      </c>
      <c r="H107">
        <v>0.34330826599999997</v>
      </c>
      <c r="I107">
        <f t="shared" si="4"/>
        <v>-0.5475024031043807</v>
      </c>
      <c r="J107">
        <f t="shared" si="5"/>
        <v>0.36644406445157507</v>
      </c>
      <c r="K107">
        <v>-0.95194763900000001</v>
      </c>
      <c r="L107">
        <v>4.4720955999999999E-2</v>
      </c>
      <c r="M107">
        <v>0.31611013044056913</v>
      </c>
      <c r="N107">
        <v>-0.90722668399999995</v>
      </c>
      <c r="O107">
        <v>0.28756767900000002</v>
      </c>
      <c r="P107">
        <f t="shared" si="6"/>
        <v>-0.59111655255943085</v>
      </c>
      <c r="Q107">
        <f t="shared" si="7"/>
        <v>0.35637870633077351</v>
      </c>
      <c r="R107">
        <f>+AVERAGE(O107,H107)</f>
        <v>0.3154379725</v>
      </c>
      <c r="S107">
        <f>+AVERAGE(E107,L107)</f>
        <v>8.0971460499999995E-2</v>
      </c>
      <c r="T107">
        <f>+AVERAGE(G107,N107)</f>
        <v>-0.77790630699999996</v>
      </c>
      <c r="U107" s="1">
        <v>2.5800000000000001E-17</v>
      </c>
      <c r="V107" s="1">
        <v>1.1E-36</v>
      </c>
      <c r="W107" s="1">
        <v>1.48E-18</v>
      </c>
      <c r="X107">
        <v>1</v>
      </c>
    </row>
    <row r="108" spans="1:24" x14ac:dyDescent="0.25">
      <c r="A108" t="s">
        <v>395</v>
      </c>
      <c r="B108" t="s">
        <v>81</v>
      </c>
      <c r="C108" t="s">
        <v>155</v>
      </c>
      <c r="D108">
        <v>-0.76580789500000002</v>
      </c>
      <c r="E108">
        <v>-0.119131153</v>
      </c>
      <c r="F108">
        <v>1.8542134737425525E-2</v>
      </c>
      <c r="G108">
        <v>-0.88493904700000003</v>
      </c>
      <c r="H108">
        <v>0.29215533300000002</v>
      </c>
      <c r="I108">
        <f t="shared" si="4"/>
        <v>-0.86639691326257451</v>
      </c>
      <c r="J108">
        <f t="shared" si="5"/>
        <v>0.29600458208701769</v>
      </c>
      <c r="K108">
        <v>-0.95194763900000001</v>
      </c>
      <c r="L108">
        <v>-0.19060865599999999</v>
      </c>
      <c r="M108">
        <v>8.7894785803348752E-2</v>
      </c>
      <c r="N108">
        <v>-1.1425562950000001</v>
      </c>
      <c r="O108">
        <v>0.241851331</v>
      </c>
      <c r="P108">
        <f t="shared" si="6"/>
        <v>-1.0546615091966511</v>
      </c>
      <c r="Q108">
        <f t="shared" si="7"/>
        <v>0.25833096827392299</v>
      </c>
      <c r="R108">
        <f>+AVERAGE(O108,H108)</f>
        <v>0.26700333200000004</v>
      </c>
      <c r="S108">
        <f>+AVERAGE(E108,L108)</f>
        <v>-0.15486990449999999</v>
      </c>
      <c r="T108">
        <f>+AVERAGE(G108,N108)</f>
        <v>-1.013747671</v>
      </c>
      <c r="U108" s="1">
        <v>2.1700000000000002E-14</v>
      </c>
      <c r="V108" s="1">
        <v>4.0699999999999997E-31</v>
      </c>
      <c r="W108" s="1">
        <v>2.47E-18</v>
      </c>
      <c r="X108">
        <v>1</v>
      </c>
    </row>
    <row r="109" spans="1:24" x14ac:dyDescent="0.25">
      <c r="A109" t="s">
        <v>395</v>
      </c>
      <c r="B109" t="s">
        <v>54</v>
      </c>
      <c r="C109" t="s">
        <v>136</v>
      </c>
      <c r="D109">
        <v>-0.76580789500000002</v>
      </c>
      <c r="E109">
        <v>0.13967893300000001</v>
      </c>
      <c r="F109">
        <v>0.10108352689561931</v>
      </c>
      <c r="G109">
        <v>-0.62612896200000001</v>
      </c>
      <c r="H109">
        <v>0.34838880100000003</v>
      </c>
      <c r="I109">
        <f t="shared" si="4"/>
        <v>-0.52504543510438073</v>
      </c>
      <c r="J109">
        <f t="shared" si="5"/>
        <v>0.37167320108140189</v>
      </c>
      <c r="K109">
        <v>-0.95194763900000001</v>
      </c>
      <c r="L109">
        <v>0.25358305199999998</v>
      </c>
      <c r="M109">
        <v>0.31611013044056913</v>
      </c>
      <c r="N109">
        <v>-0.69836458800000001</v>
      </c>
      <c r="O109">
        <v>0.33217491900000001</v>
      </c>
      <c r="P109">
        <f t="shared" si="6"/>
        <v>-0.38225445655943091</v>
      </c>
      <c r="Q109">
        <f t="shared" si="7"/>
        <v>0.40558326483736712</v>
      </c>
      <c r="R109">
        <f>+AVERAGE(O109,H109)</f>
        <v>0.34028186000000005</v>
      </c>
      <c r="S109">
        <f>+AVERAGE(E109,L109)</f>
        <v>0.19663099249999999</v>
      </c>
      <c r="T109">
        <f>+AVERAGE(G109,N109)</f>
        <v>-0.66224677500000007</v>
      </c>
      <c r="U109" s="1">
        <v>4.3800000000000002E-15</v>
      </c>
      <c r="V109" s="1">
        <v>3.2299999999999999E-38</v>
      </c>
      <c r="W109" s="1">
        <v>3.8699999999999999E-19</v>
      </c>
      <c r="X109">
        <v>1</v>
      </c>
    </row>
    <row r="110" spans="1:24" x14ac:dyDescent="0.25">
      <c r="A110" t="s">
        <v>395</v>
      </c>
      <c r="B110" t="s">
        <v>89</v>
      </c>
      <c r="C110" t="s">
        <v>126</v>
      </c>
      <c r="D110">
        <v>-0.76580789500000002</v>
      </c>
      <c r="E110">
        <v>-0.10176435</v>
      </c>
      <c r="F110">
        <v>0.30158677788175303</v>
      </c>
      <c r="G110">
        <v>-0.86757224499999996</v>
      </c>
      <c r="H110">
        <v>0.295759718</v>
      </c>
      <c r="I110">
        <f t="shared" si="4"/>
        <v>-0.56598546711824704</v>
      </c>
      <c r="J110">
        <f t="shared" si="5"/>
        <v>0.3621636724362392</v>
      </c>
      <c r="K110">
        <v>-0.95194763900000001</v>
      </c>
      <c r="L110">
        <v>-0.37384548899999998</v>
      </c>
      <c r="M110">
        <v>0.31251975382699121</v>
      </c>
      <c r="N110">
        <v>-1.325793129</v>
      </c>
      <c r="O110">
        <v>0.209856082</v>
      </c>
      <c r="P110">
        <f t="shared" si="6"/>
        <v>-1.0132733741730087</v>
      </c>
      <c r="Q110">
        <f t="shared" si="7"/>
        <v>0.26633973499283381</v>
      </c>
      <c r="R110">
        <f>+AVERAGE(O110,H110)</f>
        <v>0.25280789999999997</v>
      </c>
      <c r="S110">
        <f>+AVERAGE(E110,L110)</f>
        <v>-0.23780491949999999</v>
      </c>
      <c r="T110">
        <f>+AVERAGE(G110,N110)</f>
        <v>-1.0966826869999999</v>
      </c>
      <c r="U110" s="1">
        <v>2.2999999999999999E-15</v>
      </c>
      <c r="V110" s="1">
        <v>5.3799999999999997E-38</v>
      </c>
      <c r="W110" s="1">
        <v>8.8799999999999999E-20</v>
      </c>
      <c r="X110">
        <v>1</v>
      </c>
    </row>
    <row r="111" spans="1:24" x14ac:dyDescent="0.25">
      <c r="A111" t="s">
        <v>395</v>
      </c>
      <c r="B111" t="s">
        <v>54</v>
      </c>
      <c r="C111" t="s">
        <v>159</v>
      </c>
      <c r="D111">
        <v>-0.76580789500000002</v>
      </c>
      <c r="E111">
        <v>-0.12129546200000001</v>
      </c>
      <c r="F111">
        <v>0.10108352689561931</v>
      </c>
      <c r="G111">
        <v>-0.88710335699999998</v>
      </c>
      <c r="H111">
        <v>0.29170795399999999</v>
      </c>
      <c r="I111">
        <f t="shared" si="4"/>
        <v>-0.7860198301043807</v>
      </c>
      <c r="J111">
        <f t="shared" si="5"/>
        <v>0.31302392733649942</v>
      </c>
      <c r="K111">
        <v>-0.95194763900000001</v>
      </c>
      <c r="L111">
        <v>-0.520133081</v>
      </c>
      <c r="M111">
        <v>0.31611013044056913</v>
      </c>
      <c r="N111">
        <v>-1.472080721</v>
      </c>
      <c r="O111">
        <v>0.186626561</v>
      </c>
      <c r="P111">
        <f t="shared" si="6"/>
        <v>-1.155970589559431</v>
      </c>
      <c r="Q111">
        <f t="shared" si="7"/>
        <v>0.23940022083793622</v>
      </c>
      <c r="R111">
        <f>+AVERAGE(O111,H111)</f>
        <v>0.23916725750000001</v>
      </c>
      <c r="S111">
        <f>+AVERAGE(E111,L111)</f>
        <v>-0.32071427149999998</v>
      </c>
      <c r="T111">
        <f>+AVERAGE(G111,N111)</f>
        <v>-1.1795920390000001</v>
      </c>
      <c r="U111" s="1">
        <v>2.41E-14</v>
      </c>
      <c r="V111" s="1">
        <v>5.3900000000000002E-33</v>
      </c>
      <c r="W111" s="1">
        <v>4.4300000000000003E-18</v>
      </c>
      <c r="X111">
        <v>1</v>
      </c>
    </row>
    <row r="112" spans="1:24" x14ac:dyDescent="0.25">
      <c r="A112" t="s">
        <v>395</v>
      </c>
      <c r="B112" t="s">
        <v>58</v>
      </c>
      <c r="C112" t="s">
        <v>139</v>
      </c>
      <c r="D112">
        <v>-0.76580789500000002</v>
      </c>
      <c r="E112">
        <v>3.1741569999999999E-3</v>
      </c>
      <c r="F112">
        <v>6.292627996845801E-2</v>
      </c>
      <c r="G112">
        <v>-0.76263373700000003</v>
      </c>
      <c r="H112">
        <v>0.318074727</v>
      </c>
      <c r="I112">
        <f t="shared" si="4"/>
        <v>-0.699707458031542</v>
      </c>
      <c r="J112">
        <f t="shared" si="5"/>
        <v>0.33187709134317028</v>
      </c>
      <c r="K112">
        <v>-0.95194763900000001</v>
      </c>
      <c r="L112">
        <v>-0.14592419400000001</v>
      </c>
      <c r="M112">
        <v>0.54289824242765494</v>
      </c>
      <c r="N112">
        <v>-1.097871834</v>
      </c>
      <c r="O112">
        <v>0.25013886099999999</v>
      </c>
      <c r="P112">
        <f t="shared" si="6"/>
        <v>-0.55497359057234519</v>
      </c>
      <c r="Q112">
        <f t="shared" si="7"/>
        <v>0.36471126963941825</v>
      </c>
      <c r="R112">
        <f>+AVERAGE(O112,H112)</f>
        <v>0.284106794</v>
      </c>
      <c r="S112">
        <f>+AVERAGE(E112,L112)</f>
        <v>-7.1375018499999998E-2</v>
      </c>
      <c r="T112">
        <f>+AVERAGE(G112,N112)</f>
        <v>-0.93025278550000001</v>
      </c>
      <c r="U112" s="1">
        <v>5.2399999999999999E-15</v>
      </c>
      <c r="V112" s="1">
        <v>1.7200000000000001E-37</v>
      </c>
      <c r="W112" s="1">
        <v>1.2900000000000001E-17</v>
      </c>
      <c r="X112">
        <v>1</v>
      </c>
    </row>
    <row r="113" spans="1:24" x14ac:dyDescent="0.25">
      <c r="A113" t="s">
        <v>395</v>
      </c>
      <c r="B113" t="s">
        <v>33</v>
      </c>
      <c r="C113" t="s">
        <v>34</v>
      </c>
      <c r="D113">
        <v>-0.76580789500000002</v>
      </c>
      <c r="E113">
        <v>-0.82062655100000004</v>
      </c>
      <c r="F113">
        <v>-0.28527186548946204</v>
      </c>
      <c r="G113">
        <v>-1.5864344459999999</v>
      </c>
      <c r="H113">
        <v>0.16988613699999999</v>
      </c>
      <c r="I113">
        <f t="shared" si="4"/>
        <v>-1.8717063114894623</v>
      </c>
      <c r="J113">
        <f t="shared" si="5"/>
        <v>0.13334441150368689</v>
      </c>
      <c r="K113">
        <v>-0.95194763900000001</v>
      </c>
      <c r="L113">
        <v>-1.4250761000000001</v>
      </c>
      <c r="M113">
        <v>-0.3346834104896344</v>
      </c>
      <c r="N113">
        <v>-2.3770237390000002</v>
      </c>
      <c r="O113">
        <v>8.4941614999999998E-2</v>
      </c>
      <c r="P113">
        <f t="shared" si="6"/>
        <v>-2.7117071494896345</v>
      </c>
      <c r="Q113">
        <f t="shared" si="7"/>
        <v>6.2286068191530437E-2</v>
      </c>
      <c r="R113">
        <f>+AVERAGE(O113,H113)</f>
        <v>0.12741387599999998</v>
      </c>
      <c r="S113">
        <f>+AVERAGE(E113,L113)</f>
        <v>-1.1228513255000001</v>
      </c>
      <c r="T113">
        <f>+AVERAGE(G113,N113)</f>
        <v>-1.9817290925000002</v>
      </c>
      <c r="U113" s="1">
        <v>1.49E-36</v>
      </c>
      <c r="V113">
        <v>1</v>
      </c>
      <c r="W113" s="1">
        <v>3.1500000000000001E-40</v>
      </c>
      <c r="X113" s="1">
        <v>6.1200000000000002E-50</v>
      </c>
    </row>
    <row r="114" spans="1:24" x14ac:dyDescent="0.25">
      <c r="A114" t="s">
        <v>395</v>
      </c>
      <c r="B114" t="s">
        <v>33</v>
      </c>
      <c r="C114" t="s">
        <v>256</v>
      </c>
      <c r="D114">
        <v>-0.76580789500000002</v>
      </c>
      <c r="E114">
        <v>0.29147037399999998</v>
      </c>
      <c r="F114">
        <v>-0.28527186548946204</v>
      </c>
      <c r="G114">
        <v>-0.47433752099999998</v>
      </c>
      <c r="H114">
        <v>0.38359012599999998</v>
      </c>
      <c r="I114">
        <f t="shared" si="4"/>
        <v>-0.75960938648946208</v>
      </c>
      <c r="J114">
        <f t="shared" si="5"/>
        <v>0.31873107863878403</v>
      </c>
      <c r="K114">
        <v>-0.95194763900000001</v>
      </c>
      <c r="L114">
        <v>0.52664193299999995</v>
      </c>
      <c r="M114">
        <v>-0.3346834104896344</v>
      </c>
      <c r="N114">
        <v>-0.42530570699999998</v>
      </c>
      <c r="O114">
        <v>0.39524784099999999</v>
      </c>
      <c r="P114">
        <f t="shared" si="6"/>
        <v>-0.75998911648963441</v>
      </c>
      <c r="Q114">
        <f t="shared" si="7"/>
        <v>0.31864862914353353</v>
      </c>
      <c r="R114">
        <f>+AVERAGE(O114,H114)</f>
        <v>0.38941898349999998</v>
      </c>
      <c r="S114">
        <f>+AVERAGE(E114,L114)</f>
        <v>0.40905615349999996</v>
      </c>
      <c r="T114">
        <f>+AVERAGE(G114,N114)</f>
        <v>-0.44982161399999998</v>
      </c>
      <c r="U114">
        <v>0.99982560099999995</v>
      </c>
      <c r="V114" s="1">
        <v>4.3099999999999999E-24</v>
      </c>
      <c r="W114">
        <v>1.1740500000000001E-4</v>
      </c>
      <c r="X114">
        <v>5.7000000000000003E-5</v>
      </c>
    </row>
    <row r="115" spans="1:24" x14ac:dyDescent="0.25">
      <c r="A115" t="s">
        <v>395</v>
      </c>
      <c r="B115" t="s">
        <v>78</v>
      </c>
      <c r="C115" t="s">
        <v>179</v>
      </c>
      <c r="D115">
        <v>-0.76580789500000002</v>
      </c>
      <c r="E115">
        <v>-0.78503519899999996</v>
      </c>
      <c r="F115">
        <v>-0.4387057682465787</v>
      </c>
      <c r="G115">
        <v>-1.5508430929999999</v>
      </c>
      <c r="H115">
        <v>0.17496453300000001</v>
      </c>
      <c r="I115">
        <f t="shared" si="4"/>
        <v>-1.9895488622465787</v>
      </c>
      <c r="J115">
        <f t="shared" si="5"/>
        <v>0.12030459883103325</v>
      </c>
      <c r="K115">
        <v>-0.95194763900000001</v>
      </c>
      <c r="L115">
        <v>-0.93395049799999996</v>
      </c>
      <c r="M115">
        <v>-0.76684157506166817</v>
      </c>
      <c r="N115">
        <v>-1.8858981370000001</v>
      </c>
      <c r="O115">
        <v>0.13171286900000001</v>
      </c>
      <c r="P115">
        <f t="shared" si="6"/>
        <v>-2.6527397120616678</v>
      </c>
      <c r="Q115">
        <f t="shared" si="7"/>
        <v>6.5820349470669268E-2</v>
      </c>
      <c r="R115">
        <f>+AVERAGE(O115,H115)</f>
        <v>0.15333870100000002</v>
      </c>
      <c r="S115">
        <f>+AVERAGE(E115,L115)</f>
        <v>-0.85949284849999996</v>
      </c>
      <c r="T115">
        <f>+AVERAGE(G115,N115)</f>
        <v>-1.718370615</v>
      </c>
      <c r="U115" s="1">
        <v>1.7500000000000001E-13</v>
      </c>
      <c r="V115" s="1">
        <v>3.3E-35</v>
      </c>
      <c r="W115" s="1">
        <v>1.41E-18</v>
      </c>
      <c r="X115">
        <v>1</v>
      </c>
    </row>
    <row r="116" spans="1:24" x14ac:dyDescent="0.25">
      <c r="A116" t="s">
        <v>395</v>
      </c>
      <c r="B116" t="s">
        <v>50</v>
      </c>
      <c r="C116" t="s">
        <v>75</v>
      </c>
      <c r="D116">
        <v>-0.76580789500000002</v>
      </c>
      <c r="E116">
        <v>-9.6427391000000001E-2</v>
      </c>
      <c r="F116">
        <v>0.35462276651059182</v>
      </c>
      <c r="G116">
        <v>-0.86223528599999999</v>
      </c>
      <c r="H116">
        <v>0.29687254200000002</v>
      </c>
      <c r="I116">
        <f t="shared" si="4"/>
        <v>-0.50761251948940811</v>
      </c>
      <c r="J116">
        <f t="shared" si="5"/>
        <v>0.37575337325002101</v>
      </c>
      <c r="K116">
        <v>-0.95194763900000001</v>
      </c>
      <c r="L116">
        <v>1.1730358E-2</v>
      </c>
      <c r="M116">
        <v>0.53261546166894247</v>
      </c>
      <c r="N116">
        <v>-0.94021728100000002</v>
      </c>
      <c r="O116">
        <v>0.280856455</v>
      </c>
      <c r="P116">
        <f t="shared" si="6"/>
        <v>-0.40760181933105755</v>
      </c>
      <c r="Q116">
        <f t="shared" si="7"/>
        <v>0.39948729905095559</v>
      </c>
      <c r="R116">
        <f>+AVERAGE(O116,H116)</f>
        <v>0.28886449850000001</v>
      </c>
      <c r="S116">
        <f>+AVERAGE(E116,L116)</f>
        <v>-4.2348516500000002E-2</v>
      </c>
      <c r="T116">
        <f>+AVERAGE(G116,N116)</f>
        <v>-0.9012262835</v>
      </c>
      <c r="U116" s="1">
        <v>3.3399999999999998E-17</v>
      </c>
      <c r="V116" s="1">
        <v>1.2800000000000001E-35</v>
      </c>
      <c r="W116" s="1">
        <v>2.1899999999999999E-17</v>
      </c>
      <c r="X116">
        <v>1</v>
      </c>
    </row>
    <row r="117" spans="1:24" x14ac:dyDescent="0.25">
      <c r="A117" t="s">
        <v>395</v>
      </c>
      <c r="B117" t="s">
        <v>15</v>
      </c>
      <c r="C117" t="s">
        <v>119</v>
      </c>
      <c r="D117">
        <v>-0.76580789500000002</v>
      </c>
      <c r="E117">
        <v>0.25948368900000002</v>
      </c>
      <c r="F117">
        <v>-0.10826025021424537</v>
      </c>
      <c r="G117">
        <v>-0.50632420600000005</v>
      </c>
      <c r="H117">
        <v>0.37605561199999998</v>
      </c>
      <c r="I117">
        <f t="shared" si="4"/>
        <v>-0.61458445621424529</v>
      </c>
      <c r="J117">
        <f t="shared" si="5"/>
        <v>0.3510141321026512</v>
      </c>
      <c r="K117">
        <v>-0.95194763900000001</v>
      </c>
      <c r="L117">
        <v>1.8159198000000001E-2</v>
      </c>
      <c r="M117">
        <v>4.2640450553629666E-2</v>
      </c>
      <c r="N117">
        <v>-0.933788442</v>
      </c>
      <c r="O117">
        <v>0.28215675400000001</v>
      </c>
      <c r="P117">
        <f t="shared" si="6"/>
        <v>-0.89114799044637039</v>
      </c>
      <c r="Q117">
        <f t="shared" si="7"/>
        <v>0.29087297932814565</v>
      </c>
      <c r="R117">
        <f>+AVERAGE(O117,H117)</f>
        <v>0.329106183</v>
      </c>
      <c r="S117">
        <f>+AVERAGE(E117,L117)</f>
        <v>0.1388214435</v>
      </c>
      <c r="T117">
        <f>+AVERAGE(G117,N117)</f>
        <v>-0.72005632399999997</v>
      </c>
      <c r="U117" s="1">
        <v>1.0499999999999999E-15</v>
      </c>
      <c r="V117" s="1">
        <v>2.1400000000000001E-36</v>
      </c>
      <c r="W117" s="1">
        <v>5.9600000000000004E-19</v>
      </c>
      <c r="X117">
        <v>1</v>
      </c>
    </row>
    <row r="118" spans="1:24" x14ac:dyDescent="0.25">
      <c r="A118" t="s">
        <v>395</v>
      </c>
      <c r="B118" t="s">
        <v>54</v>
      </c>
      <c r="C118" t="s">
        <v>97</v>
      </c>
      <c r="D118">
        <v>-0.76580789500000002</v>
      </c>
      <c r="E118">
        <v>6.4764098000000006E-2</v>
      </c>
      <c r="F118">
        <v>0.10108352689561931</v>
      </c>
      <c r="G118">
        <v>-0.701043796</v>
      </c>
      <c r="H118">
        <v>0.33158084500000001</v>
      </c>
      <c r="I118">
        <f t="shared" si="4"/>
        <v>-0.59996027010438069</v>
      </c>
      <c r="J118">
        <f t="shared" si="5"/>
        <v>0.3543527834007969</v>
      </c>
      <c r="K118">
        <v>-0.95194763900000001</v>
      </c>
      <c r="L118">
        <v>-7.9294906999999998E-2</v>
      </c>
      <c r="M118">
        <v>0.31611013044056913</v>
      </c>
      <c r="N118">
        <v>-1.0312425460000001</v>
      </c>
      <c r="O118">
        <v>0.26284328200000001</v>
      </c>
      <c r="P118">
        <f t="shared" si="6"/>
        <v>-0.71513241555943097</v>
      </c>
      <c r="Q118">
        <f t="shared" si="7"/>
        <v>0.32846575741628742</v>
      </c>
      <c r="R118">
        <f>+AVERAGE(O118,H118)</f>
        <v>0.29721206350000001</v>
      </c>
      <c r="S118">
        <f>+AVERAGE(E118,L118)</f>
        <v>-7.2654044999999959E-3</v>
      </c>
      <c r="T118">
        <f>+AVERAGE(G118,N118)</f>
        <v>-0.86614317100000005</v>
      </c>
      <c r="U118" s="1">
        <v>1.7200000000000001E-16</v>
      </c>
      <c r="V118" s="1">
        <v>7.9299999999999993E-40</v>
      </c>
      <c r="W118" s="1">
        <v>4.7600000000000003E-22</v>
      </c>
      <c r="X118">
        <v>1</v>
      </c>
    </row>
    <row r="119" spans="1:24" x14ac:dyDescent="0.25">
      <c r="A119" t="s">
        <v>395</v>
      </c>
      <c r="B119" t="s">
        <v>42</v>
      </c>
      <c r="C119" t="s">
        <v>190</v>
      </c>
      <c r="D119">
        <v>-0.76580789500000002</v>
      </c>
      <c r="E119">
        <v>-0.68484883799999996</v>
      </c>
      <c r="F119">
        <v>-4.9441097480157715E-2</v>
      </c>
      <c r="G119">
        <v>-1.450656733</v>
      </c>
      <c r="H119">
        <v>0.18990051499999999</v>
      </c>
      <c r="I119">
        <f t="shared" si="4"/>
        <v>-1.5000978304801578</v>
      </c>
      <c r="J119">
        <f t="shared" si="5"/>
        <v>0.1824109331906561</v>
      </c>
      <c r="K119">
        <v>-0.95194763900000001</v>
      </c>
      <c r="L119">
        <v>-0.74684594599999998</v>
      </c>
      <c r="M119">
        <v>0.143403965745907</v>
      </c>
      <c r="N119">
        <v>-1.698793585</v>
      </c>
      <c r="O119">
        <v>0.15462289600000001</v>
      </c>
      <c r="P119">
        <f t="shared" si="6"/>
        <v>-1.555389619254093</v>
      </c>
      <c r="Q119">
        <f t="shared" si="7"/>
        <v>0.17430920235377262</v>
      </c>
      <c r="R119">
        <f>+AVERAGE(O119,H119)</f>
        <v>0.1722617055</v>
      </c>
      <c r="S119">
        <f>+AVERAGE(E119,L119)</f>
        <v>-0.71584739199999992</v>
      </c>
      <c r="T119">
        <f>+AVERAGE(G119,N119)</f>
        <v>-1.574725159</v>
      </c>
      <c r="U119" s="1">
        <v>1.76E-12</v>
      </c>
      <c r="V119" s="1">
        <v>2.5899999999999999E-29</v>
      </c>
      <c r="W119" s="1">
        <v>2.1099999999999999E-18</v>
      </c>
      <c r="X119">
        <v>1</v>
      </c>
    </row>
    <row r="120" spans="1:24" x14ac:dyDescent="0.25">
      <c r="A120" t="s">
        <v>395</v>
      </c>
      <c r="B120" t="s">
        <v>27</v>
      </c>
      <c r="C120" t="s">
        <v>107</v>
      </c>
      <c r="D120">
        <v>-0.76580789500000002</v>
      </c>
      <c r="E120">
        <v>9.4703702000000001E-2</v>
      </c>
      <c r="F120">
        <v>0.36676956185289034</v>
      </c>
      <c r="G120">
        <v>-0.67110419300000002</v>
      </c>
      <c r="H120">
        <v>0.33824963800000002</v>
      </c>
      <c r="I120">
        <f t="shared" si="4"/>
        <v>-0.30433463114710968</v>
      </c>
      <c r="J120">
        <f t="shared" si="5"/>
        <v>0.42449819004851946</v>
      </c>
      <c r="K120">
        <v>-0.95194763900000001</v>
      </c>
      <c r="L120">
        <v>0.105788567</v>
      </c>
      <c r="M120">
        <v>0.3511302049154727</v>
      </c>
      <c r="N120">
        <v>-0.84615907199999996</v>
      </c>
      <c r="O120">
        <v>0.30023919999999998</v>
      </c>
      <c r="P120">
        <f t="shared" si="6"/>
        <v>-0.49502886708452737</v>
      </c>
      <c r="Q120">
        <f t="shared" si="7"/>
        <v>0.37870961268803599</v>
      </c>
      <c r="R120">
        <f>+AVERAGE(O120,H120)</f>
        <v>0.319244419</v>
      </c>
      <c r="S120">
        <f>+AVERAGE(E120,L120)</f>
        <v>0.1002461345</v>
      </c>
      <c r="T120">
        <f>+AVERAGE(G120,N120)</f>
        <v>-0.75863163249999999</v>
      </c>
      <c r="U120" s="1">
        <v>4.5399999999999998E-16</v>
      </c>
      <c r="V120" s="1">
        <v>3.35E-37</v>
      </c>
      <c r="W120" s="1">
        <v>9.5599999999999994E-22</v>
      </c>
      <c r="X120">
        <v>1</v>
      </c>
    </row>
    <row r="121" spans="1:24" x14ac:dyDescent="0.25">
      <c r="A121" t="s">
        <v>395</v>
      </c>
      <c r="B121" t="s">
        <v>65</v>
      </c>
      <c r="C121" t="s">
        <v>112</v>
      </c>
      <c r="D121">
        <v>-0.76580789500000002</v>
      </c>
      <c r="E121">
        <v>0.47443994499999997</v>
      </c>
      <c r="F121">
        <v>-0.24178949960145765</v>
      </c>
      <c r="G121">
        <v>-0.29136794900000001</v>
      </c>
      <c r="H121">
        <v>0.42766900299999999</v>
      </c>
      <c r="I121">
        <f t="shared" si="4"/>
        <v>-0.53315744960145772</v>
      </c>
      <c r="J121">
        <f t="shared" si="5"/>
        <v>0.36978076460724985</v>
      </c>
      <c r="K121">
        <v>-0.95194763900000001</v>
      </c>
      <c r="L121">
        <v>0.31537753200000002</v>
      </c>
      <c r="M121">
        <v>0.1024183081098506</v>
      </c>
      <c r="N121">
        <v>-0.63657010700000005</v>
      </c>
      <c r="O121">
        <v>0.34602228200000001</v>
      </c>
      <c r="P121">
        <f t="shared" si="6"/>
        <v>-0.53415179889014941</v>
      </c>
      <c r="Q121">
        <f t="shared" si="7"/>
        <v>0.36954906853483971</v>
      </c>
      <c r="R121">
        <f>+AVERAGE(O121,H121)</f>
        <v>0.38684564249999998</v>
      </c>
      <c r="S121">
        <f>+AVERAGE(E121,L121)</f>
        <v>0.39490873849999997</v>
      </c>
      <c r="T121">
        <f>+AVERAGE(G121,N121)</f>
        <v>-0.46396902800000006</v>
      </c>
      <c r="U121" s="1">
        <v>6.5600000000000001E-16</v>
      </c>
      <c r="V121" s="1">
        <v>2.8600000000000001E-37</v>
      </c>
      <c r="W121" s="1">
        <v>1.4199999999999999E-20</v>
      </c>
      <c r="X121">
        <v>1</v>
      </c>
    </row>
    <row r="122" spans="1:24" x14ac:dyDescent="0.25">
      <c r="A122" t="s">
        <v>395</v>
      </c>
      <c r="B122" t="s">
        <v>29</v>
      </c>
      <c r="C122" t="s">
        <v>258</v>
      </c>
      <c r="D122">
        <v>-0.76580789500000002</v>
      </c>
      <c r="E122">
        <v>0.17925693000000001</v>
      </c>
      <c r="F122">
        <v>0.20639898313457225</v>
      </c>
      <c r="G122">
        <v>-0.58655096500000004</v>
      </c>
      <c r="H122">
        <v>0.35742661399999998</v>
      </c>
      <c r="I122">
        <f t="shared" si="4"/>
        <v>-0.38015198186542776</v>
      </c>
      <c r="J122">
        <f t="shared" si="5"/>
        <v>0.40609024141096983</v>
      </c>
      <c r="K122">
        <v>-0.95194763900000001</v>
      </c>
      <c r="L122">
        <v>0.105952451</v>
      </c>
      <c r="M122">
        <v>0.1319356394463834</v>
      </c>
      <c r="N122">
        <v>-0.84599518799999995</v>
      </c>
      <c r="O122">
        <v>0.30027363200000001</v>
      </c>
      <c r="P122">
        <f t="shared" si="6"/>
        <v>-0.71405954855361664</v>
      </c>
      <c r="Q122">
        <f t="shared" si="7"/>
        <v>0.32870244966943046</v>
      </c>
      <c r="R122">
        <f>+AVERAGE(O122,H122)</f>
        <v>0.32885012299999999</v>
      </c>
      <c r="S122">
        <f>+AVERAGE(E122,L122)</f>
        <v>0.14260469050000002</v>
      </c>
      <c r="T122">
        <f>+AVERAGE(G122,N122)</f>
        <v>-0.71627307650000005</v>
      </c>
      <c r="U122">
        <v>0.99988360799999998</v>
      </c>
      <c r="V122" s="1">
        <v>7.7300000000000002E-25</v>
      </c>
      <c r="W122">
        <v>1.1621900000000001E-4</v>
      </c>
      <c r="X122">
        <v>1.72E-7</v>
      </c>
    </row>
    <row r="123" spans="1:24" x14ac:dyDescent="0.25">
      <c r="A123" t="s">
        <v>395</v>
      </c>
      <c r="B123" t="s">
        <v>65</v>
      </c>
      <c r="C123" t="s">
        <v>209</v>
      </c>
      <c r="D123">
        <v>-0.76580789500000002</v>
      </c>
      <c r="E123">
        <v>-0.27462231300000001</v>
      </c>
      <c r="F123">
        <v>-0.24178949960145765</v>
      </c>
      <c r="G123">
        <v>-1.0404302080000001</v>
      </c>
      <c r="H123">
        <v>0.261066994</v>
      </c>
      <c r="I123">
        <f t="shared" si="4"/>
        <v>-1.2822197076014576</v>
      </c>
      <c r="J123">
        <f t="shared" si="5"/>
        <v>0.21717261713239197</v>
      </c>
      <c r="K123">
        <v>-0.95194763900000001</v>
      </c>
      <c r="L123">
        <v>-0.23806385399999999</v>
      </c>
      <c r="M123">
        <v>0.1024183081098506</v>
      </c>
      <c r="N123">
        <v>-1.1900114939999999</v>
      </c>
      <c r="O123">
        <v>0.23325688</v>
      </c>
      <c r="P123">
        <f t="shared" si="6"/>
        <v>-1.0875931848901494</v>
      </c>
      <c r="Q123">
        <f t="shared" si="7"/>
        <v>0.2520717682528017</v>
      </c>
      <c r="R123">
        <f>+AVERAGE(O123,H123)</f>
        <v>0.247161937</v>
      </c>
      <c r="S123">
        <f>+AVERAGE(E123,L123)</f>
        <v>-0.25634308350000001</v>
      </c>
      <c r="T123">
        <f>+AVERAGE(G123,N123)</f>
        <v>-1.1152208510000001</v>
      </c>
      <c r="U123" s="1">
        <v>1.42E-8</v>
      </c>
      <c r="V123" s="1">
        <v>9.9999999999999994E-37</v>
      </c>
      <c r="W123" s="1">
        <v>3.6400000000000001E-13</v>
      </c>
      <c r="X123">
        <v>0.99999998599999995</v>
      </c>
    </row>
    <row r="124" spans="1:24" x14ac:dyDescent="0.25">
      <c r="A124" t="s">
        <v>395</v>
      </c>
      <c r="B124" t="s">
        <v>50</v>
      </c>
      <c r="C124" t="s">
        <v>178</v>
      </c>
      <c r="D124">
        <v>-0.76580789500000002</v>
      </c>
      <c r="E124">
        <v>0.203817941</v>
      </c>
      <c r="F124">
        <v>0.35462276651059182</v>
      </c>
      <c r="G124">
        <v>-0.56198995299999999</v>
      </c>
      <c r="H124">
        <v>0.36308714800000003</v>
      </c>
      <c r="I124">
        <f t="shared" si="4"/>
        <v>-0.20736718748940813</v>
      </c>
      <c r="J124">
        <f t="shared" si="5"/>
        <v>0.44834317915902905</v>
      </c>
      <c r="K124">
        <v>-0.95194763900000001</v>
      </c>
      <c r="L124">
        <v>0.271583401</v>
      </c>
      <c r="M124">
        <v>0.53261546166894247</v>
      </c>
      <c r="N124">
        <v>-0.68036423899999998</v>
      </c>
      <c r="O124">
        <v>0.336180013</v>
      </c>
      <c r="P124">
        <f t="shared" si="6"/>
        <v>-0.14774877633105754</v>
      </c>
      <c r="Q124">
        <f t="shared" si="7"/>
        <v>0.46312985354966069</v>
      </c>
      <c r="R124">
        <f>+AVERAGE(O124,H124)</f>
        <v>0.34963358050000004</v>
      </c>
      <c r="S124">
        <f>+AVERAGE(E124,L124)</f>
        <v>0.237700671</v>
      </c>
      <c r="T124">
        <f>+AVERAGE(G124,N124)</f>
        <v>-0.62117709600000004</v>
      </c>
      <c r="U124" s="1">
        <v>1.71E-13</v>
      </c>
      <c r="V124" s="1">
        <v>6.9099999999999995E-45</v>
      </c>
      <c r="W124" s="1">
        <v>4.5599999999999996E-18</v>
      </c>
      <c r="X124">
        <v>1</v>
      </c>
    </row>
    <row r="125" spans="1:24" x14ac:dyDescent="0.25">
      <c r="A125" t="s">
        <v>395</v>
      </c>
      <c r="B125" t="s">
        <v>31</v>
      </c>
      <c r="C125" t="s">
        <v>252</v>
      </c>
      <c r="D125">
        <v>-0.76580789500000002</v>
      </c>
      <c r="E125">
        <v>-0.38343349199999999</v>
      </c>
      <c r="F125">
        <v>-0.40815884462967861</v>
      </c>
      <c r="G125">
        <v>-1.149241387</v>
      </c>
      <c r="H125">
        <v>0.24062767400000001</v>
      </c>
      <c r="I125">
        <f t="shared" si="4"/>
        <v>-1.5574002316296787</v>
      </c>
      <c r="J125">
        <f t="shared" si="5"/>
        <v>0.17402001342291537</v>
      </c>
      <c r="K125">
        <v>-0.95194763900000001</v>
      </c>
      <c r="L125">
        <v>-0.133332847</v>
      </c>
      <c r="M125">
        <v>-0.66911011404127352</v>
      </c>
      <c r="N125">
        <v>-1.085280486</v>
      </c>
      <c r="O125">
        <v>0.25250803500000002</v>
      </c>
      <c r="P125">
        <f t="shared" si="6"/>
        <v>-1.7543906000412735</v>
      </c>
      <c r="Q125">
        <f t="shared" si="7"/>
        <v>0.14749427036889126</v>
      </c>
      <c r="R125">
        <f>+AVERAGE(O125,H125)</f>
        <v>0.24656785450000002</v>
      </c>
      <c r="S125">
        <f>+AVERAGE(E125,L125)</f>
        <v>-0.25838316950000001</v>
      </c>
      <c r="T125">
        <f>+AVERAGE(G125,N125)</f>
        <v>-1.1172609365000001</v>
      </c>
      <c r="U125">
        <v>0.99974210299999999</v>
      </c>
      <c r="V125" s="1">
        <v>2.66E-22</v>
      </c>
      <c r="W125">
        <v>2.4964799999999999E-4</v>
      </c>
      <c r="X125">
        <v>8.2500000000000006E-6</v>
      </c>
    </row>
    <row r="126" spans="1:24" x14ac:dyDescent="0.25">
      <c r="A126" t="s">
        <v>395</v>
      </c>
      <c r="B126" t="s">
        <v>31</v>
      </c>
      <c r="C126" t="s">
        <v>160</v>
      </c>
      <c r="D126">
        <v>-0.76580789500000002</v>
      </c>
      <c r="E126">
        <v>-0.186673492</v>
      </c>
      <c r="F126">
        <v>-0.40815884462967861</v>
      </c>
      <c r="G126">
        <v>-0.95248138699999996</v>
      </c>
      <c r="H126">
        <v>0.27838606900000001</v>
      </c>
      <c r="I126">
        <f t="shared" si="4"/>
        <v>-1.3606402316296786</v>
      </c>
      <c r="J126">
        <f t="shared" si="5"/>
        <v>0.20413626757244419</v>
      </c>
      <c r="K126">
        <v>-0.95194763900000001</v>
      </c>
      <c r="L126">
        <v>8.8364889999999995E-3</v>
      </c>
      <c r="M126">
        <v>-0.66911011404127352</v>
      </c>
      <c r="N126">
        <v>-0.94311115000000001</v>
      </c>
      <c r="O126">
        <v>0.28027233299999998</v>
      </c>
      <c r="P126">
        <f t="shared" si="6"/>
        <v>-1.6122212640412736</v>
      </c>
      <c r="Q126">
        <f t="shared" si="7"/>
        <v>0.1662804486307603</v>
      </c>
      <c r="R126">
        <f>+AVERAGE(O126,H126)</f>
        <v>0.27932920100000003</v>
      </c>
      <c r="S126">
        <f>+AVERAGE(E126,L126)</f>
        <v>-8.8918501499999997E-2</v>
      </c>
      <c r="T126">
        <f>+AVERAGE(G126,N126)</f>
        <v>-0.94779626849999998</v>
      </c>
      <c r="U126" s="1">
        <v>2.68E-14</v>
      </c>
      <c r="V126" s="1">
        <v>5.3800000000000001E-35</v>
      </c>
      <c r="W126" s="1">
        <v>5.0800000000000001E-19</v>
      </c>
      <c r="X126">
        <v>1</v>
      </c>
    </row>
    <row r="127" spans="1:24" x14ac:dyDescent="0.25">
      <c r="A127" t="s">
        <v>395</v>
      </c>
      <c r="B127" t="s">
        <v>31</v>
      </c>
      <c r="C127" t="s">
        <v>161</v>
      </c>
      <c r="D127">
        <v>-0.76580789500000002</v>
      </c>
      <c r="E127">
        <v>2.1530072000000001E-2</v>
      </c>
      <c r="F127">
        <v>-0.40815884462967861</v>
      </c>
      <c r="G127">
        <v>-0.74427782300000001</v>
      </c>
      <c r="H127">
        <v>0.32206941100000003</v>
      </c>
      <c r="I127">
        <f t="shared" si="4"/>
        <v>-1.1524366676296787</v>
      </c>
      <c r="J127">
        <f t="shared" si="5"/>
        <v>0.24004429723377352</v>
      </c>
      <c r="K127">
        <v>-0.95194763900000001</v>
      </c>
      <c r="L127">
        <v>0.22528002499999999</v>
      </c>
      <c r="M127">
        <v>-0.66911011404127352</v>
      </c>
      <c r="N127">
        <v>-0.72666761499999999</v>
      </c>
      <c r="O127">
        <v>0.32592642199999999</v>
      </c>
      <c r="P127">
        <f t="shared" si="6"/>
        <v>-1.3957777280412735</v>
      </c>
      <c r="Q127">
        <f t="shared" si="7"/>
        <v>0.19848697719706263</v>
      </c>
      <c r="R127">
        <f>+AVERAGE(O127,H127)</f>
        <v>0.32399791649999998</v>
      </c>
      <c r="S127">
        <f>+AVERAGE(E127,L127)</f>
        <v>0.1234050485</v>
      </c>
      <c r="T127">
        <f>+AVERAGE(G127,N127)</f>
        <v>-0.735472719</v>
      </c>
      <c r="U127" s="1">
        <v>2.9199999999999998E-14</v>
      </c>
      <c r="V127" s="1">
        <v>8.8500000000000003E-32</v>
      </c>
      <c r="W127" s="1">
        <v>2.0900000000000001E-17</v>
      </c>
      <c r="X127">
        <v>1</v>
      </c>
    </row>
    <row r="128" spans="1:24" x14ac:dyDescent="0.25">
      <c r="A128" t="s">
        <v>395</v>
      </c>
      <c r="B128" t="s">
        <v>45</v>
      </c>
      <c r="C128" t="s">
        <v>187</v>
      </c>
      <c r="D128">
        <v>-0.76580789500000002</v>
      </c>
      <c r="E128">
        <v>0.54915389999999997</v>
      </c>
      <c r="F128">
        <v>-0.58307157706059798</v>
      </c>
      <c r="G128">
        <v>-0.21665399499999999</v>
      </c>
      <c r="H128">
        <v>0.446047376</v>
      </c>
      <c r="I128">
        <f t="shared" si="4"/>
        <v>-0.79972557206059802</v>
      </c>
      <c r="J128">
        <f t="shared" si="5"/>
        <v>0.31008422472984243</v>
      </c>
      <c r="K128">
        <v>-0.95194763900000001</v>
      </c>
      <c r="L128">
        <v>0.85061672700000002</v>
      </c>
      <c r="M128">
        <v>-0.76434299473732881</v>
      </c>
      <c r="N128">
        <v>-0.101330912</v>
      </c>
      <c r="O128">
        <v>0.47468892600000001</v>
      </c>
      <c r="P128">
        <f t="shared" si="6"/>
        <v>-0.8656739067373288</v>
      </c>
      <c r="Q128">
        <f t="shared" si="7"/>
        <v>0.29615526864861347</v>
      </c>
      <c r="R128">
        <f>+AVERAGE(O128,H128)</f>
        <v>0.460368151</v>
      </c>
      <c r="S128">
        <f>+AVERAGE(E128,L128)</f>
        <v>0.69988531350000005</v>
      </c>
      <c r="T128">
        <f>+AVERAGE(G128,N128)</f>
        <v>-0.15899245349999999</v>
      </c>
      <c r="U128" s="1">
        <v>1.1499999999999999E-12</v>
      </c>
      <c r="V128" s="1">
        <v>3.8999999999999998E-40</v>
      </c>
      <c r="W128" s="1">
        <v>7.2999999999999997E-18</v>
      </c>
      <c r="X128">
        <v>1</v>
      </c>
    </row>
    <row r="129" spans="1:24" x14ac:dyDescent="0.25">
      <c r="A129" t="s">
        <v>395</v>
      </c>
      <c r="B129" t="s">
        <v>27</v>
      </c>
      <c r="C129" t="s">
        <v>241</v>
      </c>
      <c r="D129">
        <v>-0.76580789500000002</v>
      </c>
      <c r="E129">
        <v>-0.18989787499999999</v>
      </c>
      <c r="F129">
        <v>0.36676956185289034</v>
      </c>
      <c r="G129">
        <v>-0.95570577000000001</v>
      </c>
      <c r="H129">
        <v>0.27773879499999998</v>
      </c>
      <c r="I129">
        <f t="shared" si="4"/>
        <v>-0.58893620814710967</v>
      </c>
      <c r="J129">
        <f t="shared" si="5"/>
        <v>0.35687897476177965</v>
      </c>
      <c r="K129">
        <v>-0.95194763900000001</v>
      </c>
      <c r="L129">
        <v>-0.440399347</v>
      </c>
      <c r="M129">
        <v>0.3511302049154727</v>
      </c>
      <c r="N129">
        <v>-1.392346986</v>
      </c>
      <c r="O129">
        <v>0.199033338</v>
      </c>
      <c r="P129">
        <f t="shared" si="6"/>
        <v>-1.0412167810845272</v>
      </c>
      <c r="Q129">
        <f t="shared" si="7"/>
        <v>0.26091528342709697</v>
      </c>
      <c r="R129">
        <f>+AVERAGE(O129,H129)</f>
        <v>0.23838606649999999</v>
      </c>
      <c r="S129">
        <f>+AVERAGE(E129,L129)</f>
        <v>-0.31514861100000002</v>
      </c>
      <c r="T129">
        <f>+AVERAGE(G129,N129)</f>
        <v>-1.174026378</v>
      </c>
      <c r="U129">
        <v>0.99923988200000002</v>
      </c>
      <c r="V129" s="1">
        <v>2.5000000000000001E-26</v>
      </c>
      <c r="W129">
        <v>7.6011700000000004E-4</v>
      </c>
      <c r="X129" s="1">
        <v>1.6699999999999999E-10</v>
      </c>
    </row>
    <row r="130" spans="1:24" x14ac:dyDescent="0.25">
      <c r="A130" t="s">
        <v>395</v>
      </c>
      <c r="B130" t="s">
        <v>12</v>
      </c>
      <c r="C130" t="s">
        <v>142</v>
      </c>
      <c r="D130">
        <v>-0.76580789500000002</v>
      </c>
      <c r="E130">
        <v>2.9902378E-2</v>
      </c>
      <c r="F130">
        <v>0.26350859048821873</v>
      </c>
      <c r="G130">
        <v>-0.73590551699999995</v>
      </c>
      <c r="H130">
        <v>0.32390014299999997</v>
      </c>
      <c r="I130">
        <f t="shared" si="4"/>
        <v>-0.47239692651178133</v>
      </c>
      <c r="J130">
        <f t="shared" si="5"/>
        <v>0.38404908037905888</v>
      </c>
      <c r="K130">
        <v>-0.95194763900000001</v>
      </c>
      <c r="L130">
        <v>6.3401903999999995E-2</v>
      </c>
      <c r="M130">
        <v>-1.2208396677130032E-2</v>
      </c>
      <c r="N130">
        <v>-0.888545735</v>
      </c>
      <c r="O130">
        <v>0.29141002799999999</v>
      </c>
      <c r="P130">
        <f t="shared" si="6"/>
        <v>-0.90075413167713003</v>
      </c>
      <c r="Q130">
        <f t="shared" si="7"/>
        <v>0.28889554774087428</v>
      </c>
      <c r="R130">
        <f>+AVERAGE(O130,H130)</f>
        <v>0.30765508549999998</v>
      </c>
      <c r="S130">
        <f>+AVERAGE(E130,L130)</f>
        <v>4.6652140999999994E-2</v>
      </c>
      <c r="T130">
        <f>+AVERAGE(G130,N130)</f>
        <v>-0.81222562600000003</v>
      </c>
      <c r="U130" s="1">
        <v>6.53E-15</v>
      </c>
      <c r="V130" s="1">
        <v>5.0999999999999999E-29</v>
      </c>
      <c r="W130" s="1">
        <v>1.2500000000000001E-18</v>
      </c>
      <c r="X130">
        <v>1</v>
      </c>
    </row>
    <row r="131" spans="1:24" x14ac:dyDescent="0.25">
      <c r="A131" t="s">
        <v>395</v>
      </c>
      <c r="B131" t="s">
        <v>78</v>
      </c>
      <c r="C131" t="s">
        <v>207</v>
      </c>
      <c r="D131">
        <v>-0.76580789500000002</v>
      </c>
      <c r="E131">
        <v>-0.239650275</v>
      </c>
      <c r="F131">
        <v>-0.4387057682465787</v>
      </c>
      <c r="G131">
        <v>-1.00545817</v>
      </c>
      <c r="H131">
        <v>0.26786963400000002</v>
      </c>
      <c r="I131">
        <f t="shared" ref="I131:I194" si="8">+D131+E131+F131</f>
        <v>-1.4441639382465787</v>
      </c>
      <c r="J131">
        <f t="shared" ref="J131:J194" si="9">1/(1+EXP(-I131))</f>
        <v>0.19090136692446452</v>
      </c>
      <c r="K131">
        <v>-0.95194763900000001</v>
      </c>
      <c r="L131">
        <v>-0.38667299599999999</v>
      </c>
      <c r="M131">
        <v>-0.76684157506166817</v>
      </c>
      <c r="N131">
        <v>-1.3386206350000001</v>
      </c>
      <c r="O131">
        <v>0.20773698600000001</v>
      </c>
      <c r="P131">
        <f t="shared" ref="P131:P194" si="10">+K131+L131+M131</f>
        <v>-2.1054622100616682</v>
      </c>
      <c r="Q131">
        <f t="shared" ref="Q131:Q194" si="11">1/(1+EXP(-P131))</f>
        <v>0.10856705577090378</v>
      </c>
      <c r="R131">
        <f>+AVERAGE(O131,H131)</f>
        <v>0.23780331000000002</v>
      </c>
      <c r="S131">
        <f>+AVERAGE(E131,L131)</f>
        <v>-0.31316163549999998</v>
      </c>
      <c r="T131">
        <f>+AVERAGE(G131,N131)</f>
        <v>-1.1720394025</v>
      </c>
      <c r="U131" s="1">
        <v>4.9700000000000004E-10</v>
      </c>
      <c r="V131" s="1">
        <v>1.28E-33</v>
      </c>
      <c r="W131" s="1">
        <v>2.2699999999999998E-15</v>
      </c>
      <c r="X131">
        <v>1</v>
      </c>
    </row>
    <row r="132" spans="1:24" x14ac:dyDescent="0.25">
      <c r="A132" t="s">
        <v>395</v>
      </c>
      <c r="B132" t="s">
        <v>42</v>
      </c>
      <c r="C132" t="s">
        <v>196</v>
      </c>
      <c r="D132">
        <v>-0.76580789500000002</v>
      </c>
      <c r="E132">
        <v>-0.139123673</v>
      </c>
      <c r="F132">
        <v>-4.9441097480157715E-2</v>
      </c>
      <c r="G132">
        <v>-0.90493156799999996</v>
      </c>
      <c r="H132">
        <v>0.28803811400000001</v>
      </c>
      <c r="I132">
        <f t="shared" si="8"/>
        <v>-0.95437266548015776</v>
      </c>
      <c r="J132">
        <f t="shared" si="9"/>
        <v>0.27800629444178776</v>
      </c>
      <c r="K132">
        <v>-0.95194763900000001</v>
      </c>
      <c r="L132">
        <v>-3.2085194999999997E-2</v>
      </c>
      <c r="M132">
        <v>0.143403965745907</v>
      </c>
      <c r="N132">
        <v>-0.98403283399999997</v>
      </c>
      <c r="O132">
        <v>0.27209231499999997</v>
      </c>
      <c r="P132">
        <f t="shared" si="10"/>
        <v>-0.840628868254093</v>
      </c>
      <c r="Q132">
        <f t="shared" si="11"/>
        <v>0.30140235360746592</v>
      </c>
      <c r="R132">
        <f>+AVERAGE(O132,H132)</f>
        <v>0.28006521449999999</v>
      </c>
      <c r="S132">
        <f>+AVERAGE(E132,L132)</f>
        <v>-8.5604434000000007E-2</v>
      </c>
      <c r="T132">
        <f>+AVERAGE(G132,N132)</f>
        <v>-0.94448220100000002</v>
      </c>
      <c r="U132" s="1">
        <v>5.6400000000000002E-12</v>
      </c>
      <c r="V132" s="1">
        <v>9.9900000000000006E-31</v>
      </c>
      <c r="W132" s="1">
        <v>4.67E-17</v>
      </c>
      <c r="X132">
        <v>1</v>
      </c>
    </row>
    <row r="133" spans="1:24" x14ac:dyDescent="0.25">
      <c r="A133" t="s">
        <v>395</v>
      </c>
      <c r="B133" t="s">
        <v>62</v>
      </c>
      <c r="C133" t="s">
        <v>63</v>
      </c>
      <c r="D133">
        <v>-0.76580789500000002</v>
      </c>
      <c r="E133">
        <v>-0.13758156599999999</v>
      </c>
      <c r="F133">
        <v>0.33310825262365334</v>
      </c>
      <c r="G133">
        <v>-0.90338946099999995</v>
      </c>
      <c r="H133">
        <v>0.28835446100000001</v>
      </c>
      <c r="I133">
        <f t="shared" si="8"/>
        <v>-0.57028120837634666</v>
      </c>
      <c r="J133">
        <f t="shared" si="9"/>
        <v>0.36117194001820246</v>
      </c>
      <c r="K133">
        <v>-0.95194763900000001</v>
      </c>
      <c r="L133">
        <v>-0.43995310100000001</v>
      </c>
      <c r="M133">
        <v>0.5567754477651996</v>
      </c>
      <c r="N133">
        <v>-1.3919007400000001</v>
      </c>
      <c r="O133">
        <v>0.199104488</v>
      </c>
      <c r="P133">
        <f t="shared" si="10"/>
        <v>-0.83512529223480048</v>
      </c>
      <c r="Q133">
        <f t="shared" si="11"/>
        <v>0.3025624459816485</v>
      </c>
      <c r="R133">
        <f>+AVERAGE(O133,H133)</f>
        <v>0.24372947449999999</v>
      </c>
      <c r="S133">
        <f>+AVERAGE(E133,L133)</f>
        <v>-0.2887673335</v>
      </c>
      <c r="T133">
        <f>+AVERAGE(G133,N133)</f>
        <v>-1.1476451005000001</v>
      </c>
      <c r="U133" s="1">
        <v>6.0700000000000001E-18</v>
      </c>
      <c r="V133" s="1">
        <v>1.1699999999999999E-41</v>
      </c>
      <c r="W133" s="1">
        <v>1.3800000000000001E-20</v>
      </c>
      <c r="X133">
        <v>1</v>
      </c>
    </row>
    <row r="134" spans="1:24" x14ac:dyDescent="0.25">
      <c r="A134" t="s">
        <v>395</v>
      </c>
      <c r="B134" t="s">
        <v>45</v>
      </c>
      <c r="C134" t="s">
        <v>122</v>
      </c>
      <c r="D134">
        <v>-0.76580789500000002</v>
      </c>
      <c r="E134">
        <v>-0.34002046699999999</v>
      </c>
      <c r="F134">
        <v>-0.58307157706059798</v>
      </c>
      <c r="G134">
        <v>-1.105828362</v>
      </c>
      <c r="H134">
        <v>0.24864942900000001</v>
      </c>
      <c r="I134">
        <f t="shared" si="8"/>
        <v>-1.6888999390605979</v>
      </c>
      <c r="J134">
        <f t="shared" si="9"/>
        <v>0.15592056362590462</v>
      </c>
      <c r="K134">
        <v>-0.95194763900000001</v>
      </c>
      <c r="L134">
        <v>-0.44865547500000003</v>
      </c>
      <c r="M134">
        <v>-0.76434299473732881</v>
      </c>
      <c r="N134">
        <v>-1.400603115</v>
      </c>
      <c r="O134">
        <v>0.19772042400000001</v>
      </c>
      <c r="P134">
        <f t="shared" si="10"/>
        <v>-2.164946108737329</v>
      </c>
      <c r="Q134">
        <f t="shared" si="11"/>
        <v>0.10294280233068812</v>
      </c>
      <c r="R134">
        <f>+AVERAGE(O134,H134)</f>
        <v>0.22318492649999999</v>
      </c>
      <c r="S134">
        <f>+AVERAGE(E134,L134)</f>
        <v>-0.39433797100000001</v>
      </c>
      <c r="T134">
        <f>+AVERAGE(G134,N134)</f>
        <v>-1.2532157385</v>
      </c>
      <c r="U134" s="1">
        <v>1.4500000000000001E-15</v>
      </c>
      <c r="V134" s="1">
        <v>2.6200000000000001E-36</v>
      </c>
      <c r="W134" s="1">
        <v>1.55E-20</v>
      </c>
      <c r="X134">
        <v>1</v>
      </c>
    </row>
    <row r="135" spans="1:24" x14ac:dyDescent="0.25">
      <c r="A135" t="s">
        <v>395</v>
      </c>
      <c r="B135" t="s">
        <v>58</v>
      </c>
      <c r="C135" t="s">
        <v>144</v>
      </c>
      <c r="D135">
        <v>-0.76580789500000002</v>
      </c>
      <c r="E135">
        <v>-0.31888793700000001</v>
      </c>
      <c r="F135">
        <v>6.292627996845801E-2</v>
      </c>
      <c r="G135">
        <v>-1.0846958310000001</v>
      </c>
      <c r="H135">
        <v>0.25261840299999999</v>
      </c>
      <c r="I135">
        <f t="shared" si="8"/>
        <v>-1.021769552031542</v>
      </c>
      <c r="J135">
        <f t="shared" si="9"/>
        <v>0.26468285659911039</v>
      </c>
      <c r="K135">
        <v>-0.95194763900000001</v>
      </c>
      <c r="L135">
        <v>-0.77702582799999997</v>
      </c>
      <c r="M135">
        <v>0.54289824242765494</v>
      </c>
      <c r="N135">
        <v>-1.7289734670000001</v>
      </c>
      <c r="O135">
        <v>0.150718932</v>
      </c>
      <c r="P135">
        <f t="shared" si="10"/>
        <v>-1.1860752245723449</v>
      </c>
      <c r="Q135">
        <f t="shared" si="11"/>
        <v>0.23396161346556091</v>
      </c>
      <c r="R135">
        <f>+AVERAGE(O135,H135)</f>
        <v>0.20166866750000001</v>
      </c>
      <c r="S135">
        <f>+AVERAGE(E135,L135)</f>
        <v>-0.54795688249999996</v>
      </c>
      <c r="T135">
        <f>+AVERAGE(G135,N135)</f>
        <v>-1.4068346490000001</v>
      </c>
      <c r="U135" s="1">
        <v>7.6299999999999997E-15</v>
      </c>
      <c r="V135" s="1">
        <v>1.5499999999999999E-36</v>
      </c>
      <c r="W135" s="1">
        <v>1.6999999999999999E-20</v>
      </c>
      <c r="X135">
        <v>1</v>
      </c>
    </row>
    <row r="136" spans="1:24" x14ac:dyDescent="0.25">
      <c r="A136" t="s">
        <v>395</v>
      </c>
      <c r="B136" t="s">
        <v>65</v>
      </c>
      <c r="C136" t="s">
        <v>253</v>
      </c>
      <c r="D136">
        <v>-0.76580789500000002</v>
      </c>
      <c r="E136">
        <v>0.44116280400000002</v>
      </c>
      <c r="F136">
        <v>-0.24178949960145765</v>
      </c>
      <c r="G136">
        <v>-0.324645091</v>
      </c>
      <c r="H136">
        <v>0.41954412299999999</v>
      </c>
      <c r="I136">
        <f t="shared" si="8"/>
        <v>-0.56643459060145762</v>
      </c>
      <c r="J136">
        <f t="shared" si="9"/>
        <v>0.36205993082048482</v>
      </c>
      <c r="K136">
        <v>-0.95194763900000001</v>
      </c>
      <c r="L136">
        <v>0.63731542600000002</v>
      </c>
      <c r="M136">
        <v>0.1024183081098506</v>
      </c>
      <c r="N136">
        <v>-0.31463221299999999</v>
      </c>
      <c r="O136">
        <v>0.42198447300000003</v>
      </c>
      <c r="P136">
        <f t="shared" si="10"/>
        <v>-0.21221390489014941</v>
      </c>
      <c r="Q136">
        <f t="shared" si="11"/>
        <v>0.4471447353167185</v>
      </c>
      <c r="R136">
        <f>+AVERAGE(O136,H136)</f>
        <v>0.42076429800000004</v>
      </c>
      <c r="S136">
        <f>+AVERAGE(E136,L136)</f>
        <v>0.53923911499999999</v>
      </c>
      <c r="T136">
        <f>+AVERAGE(G136,N136)</f>
        <v>-0.31963865199999997</v>
      </c>
      <c r="U136">
        <v>0.99979260599999997</v>
      </c>
      <c r="V136" s="1">
        <v>5.0800000000000003E-21</v>
      </c>
      <c r="W136">
        <v>2.0416400000000001E-4</v>
      </c>
      <c r="X136">
        <v>3.23E-6</v>
      </c>
    </row>
    <row r="137" spans="1:24" x14ac:dyDescent="0.25">
      <c r="A137" t="s">
        <v>395</v>
      </c>
      <c r="B137" t="s">
        <v>62</v>
      </c>
      <c r="C137" t="s">
        <v>247</v>
      </c>
      <c r="D137">
        <v>-0.76580789500000002</v>
      </c>
      <c r="E137">
        <v>0.16216322399999999</v>
      </c>
      <c r="F137">
        <v>0.33310825262365334</v>
      </c>
      <c r="G137">
        <v>-0.60364467099999997</v>
      </c>
      <c r="H137">
        <v>0.353510294</v>
      </c>
      <c r="I137">
        <f t="shared" si="8"/>
        <v>-0.27053641837634673</v>
      </c>
      <c r="J137">
        <f t="shared" si="9"/>
        <v>0.43277540984768514</v>
      </c>
      <c r="K137">
        <v>-0.95194763900000001</v>
      </c>
      <c r="L137">
        <v>7.8785211999999993E-2</v>
      </c>
      <c r="M137">
        <v>0.5567754477651996</v>
      </c>
      <c r="N137">
        <v>-0.87316242799999999</v>
      </c>
      <c r="O137">
        <v>0.29459669300000002</v>
      </c>
      <c r="P137">
        <f t="shared" si="10"/>
        <v>-0.31638697923480041</v>
      </c>
      <c r="Q137">
        <f t="shared" si="11"/>
        <v>0.42155652016975287</v>
      </c>
      <c r="R137">
        <f>+AVERAGE(O137,H137)</f>
        <v>0.32405349350000001</v>
      </c>
      <c r="S137">
        <f>+AVERAGE(E137,L137)</f>
        <v>0.12047421799999999</v>
      </c>
      <c r="T137">
        <f>+AVERAGE(G137,N137)</f>
        <v>-0.73840354949999998</v>
      </c>
      <c r="U137">
        <v>0.99962555399999997</v>
      </c>
      <c r="V137" s="1">
        <v>4.9599999999999999E-24</v>
      </c>
      <c r="W137">
        <v>3.7444600000000001E-4</v>
      </c>
      <c r="X137" s="1">
        <v>2.4E-10</v>
      </c>
    </row>
    <row r="138" spans="1:24" x14ac:dyDescent="0.25">
      <c r="A138" t="s">
        <v>395</v>
      </c>
      <c r="B138" t="s">
        <v>31</v>
      </c>
      <c r="C138" t="s">
        <v>80</v>
      </c>
      <c r="D138">
        <v>-0.76580789500000002</v>
      </c>
      <c r="E138">
        <v>0.100021024</v>
      </c>
      <c r="F138">
        <v>-0.40815884462967861</v>
      </c>
      <c r="G138">
        <v>-0.665786871</v>
      </c>
      <c r="H138">
        <v>0.339440872</v>
      </c>
      <c r="I138">
        <f t="shared" si="8"/>
        <v>-1.0739457156296786</v>
      </c>
      <c r="J138">
        <f t="shared" si="9"/>
        <v>0.2546534426226969</v>
      </c>
      <c r="K138">
        <v>-0.95194763900000001</v>
      </c>
      <c r="L138">
        <v>0.30592339699999999</v>
      </c>
      <c r="M138">
        <v>-0.66911011404127352</v>
      </c>
      <c r="N138">
        <v>-0.64602424300000005</v>
      </c>
      <c r="O138">
        <v>0.34388602400000001</v>
      </c>
      <c r="P138">
        <f t="shared" si="10"/>
        <v>-1.3151343560412734</v>
      </c>
      <c r="Q138">
        <f t="shared" si="11"/>
        <v>0.21162894887436928</v>
      </c>
      <c r="R138">
        <f>+AVERAGE(O138,H138)</f>
        <v>0.34166344800000004</v>
      </c>
      <c r="S138">
        <f>+AVERAGE(E138,L138)</f>
        <v>0.2029722105</v>
      </c>
      <c r="T138">
        <f>+AVERAGE(G138,N138)</f>
        <v>-0.65590555700000008</v>
      </c>
      <c r="U138" s="1">
        <v>4.0600000000000003E-17</v>
      </c>
      <c r="V138" s="1">
        <v>3.9500000000000002E-40</v>
      </c>
      <c r="W138" s="1">
        <v>5.1099999999999999E-20</v>
      </c>
      <c r="X138">
        <v>1</v>
      </c>
    </row>
    <row r="139" spans="1:24" x14ac:dyDescent="0.25">
      <c r="A139" t="s">
        <v>395</v>
      </c>
      <c r="B139" t="s">
        <v>27</v>
      </c>
      <c r="C139" t="s">
        <v>44</v>
      </c>
      <c r="D139">
        <v>-0.76580789500000002</v>
      </c>
      <c r="E139">
        <v>-5.9911984000000001E-2</v>
      </c>
      <c r="F139">
        <v>0.36676956185289034</v>
      </c>
      <c r="G139">
        <v>-0.82571987899999999</v>
      </c>
      <c r="H139">
        <v>0.30455083900000002</v>
      </c>
      <c r="I139">
        <f t="shared" si="8"/>
        <v>-0.45895031714710965</v>
      </c>
      <c r="J139">
        <f t="shared" si="9"/>
        <v>0.38723486733126733</v>
      </c>
      <c r="K139">
        <v>-0.95194763900000001</v>
      </c>
      <c r="L139">
        <v>0.105788567</v>
      </c>
      <c r="M139">
        <v>0.3511302049154727</v>
      </c>
      <c r="N139">
        <v>-0.84615907199999996</v>
      </c>
      <c r="O139">
        <v>0.30023919999999998</v>
      </c>
      <c r="P139">
        <f t="shared" si="10"/>
        <v>-0.49502886708452737</v>
      </c>
      <c r="Q139">
        <f t="shared" si="11"/>
        <v>0.37870961268803599</v>
      </c>
      <c r="R139">
        <f>+AVERAGE(O139,H139)</f>
        <v>0.30239501950000003</v>
      </c>
      <c r="S139">
        <f>+AVERAGE(E139,L139)</f>
        <v>2.2938291499999999E-2</v>
      </c>
      <c r="T139">
        <f>+AVERAGE(G139,N139)</f>
        <v>-0.83593947550000003</v>
      </c>
      <c r="U139" s="1">
        <v>1.02E-26</v>
      </c>
      <c r="V139" s="1">
        <v>1.9200000000000001E-51</v>
      </c>
      <c r="W139" s="1">
        <v>1.9000000000000002E-30</v>
      </c>
      <c r="X139">
        <v>1</v>
      </c>
    </row>
    <row r="140" spans="1:24" x14ac:dyDescent="0.25">
      <c r="A140" t="s">
        <v>395</v>
      </c>
      <c r="B140" t="s">
        <v>38</v>
      </c>
      <c r="C140" t="s">
        <v>103</v>
      </c>
      <c r="D140">
        <v>-0.76580789500000002</v>
      </c>
      <c r="E140">
        <v>-7.9843250000000004E-2</v>
      </c>
      <c r="F140">
        <v>-6.8234224002180349E-2</v>
      </c>
      <c r="G140">
        <v>-0.84565114500000005</v>
      </c>
      <c r="H140">
        <v>0.30034592399999999</v>
      </c>
      <c r="I140">
        <f t="shared" si="8"/>
        <v>-0.91388536900218043</v>
      </c>
      <c r="J140">
        <f t="shared" si="9"/>
        <v>0.28620542901191487</v>
      </c>
      <c r="K140">
        <v>-0.95194763900000001</v>
      </c>
      <c r="L140">
        <v>5.0290498000000003E-2</v>
      </c>
      <c r="M140">
        <v>0.23599397861893998</v>
      </c>
      <c r="N140">
        <v>-0.90165714100000005</v>
      </c>
      <c r="O140">
        <v>0.28871007300000001</v>
      </c>
      <c r="P140">
        <f t="shared" si="10"/>
        <v>-0.66566316238106005</v>
      </c>
      <c r="Q140">
        <f t="shared" si="11"/>
        <v>0.33946861041029353</v>
      </c>
      <c r="R140">
        <f>+AVERAGE(O140,H140)</f>
        <v>0.2945279985</v>
      </c>
      <c r="S140">
        <f>+AVERAGE(E140,L140)</f>
        <v>-1.4776376000000001E-2</v>
      </c>
      <c r="T140">
        <f>+AVERAGE(G140,N140)</f>
        <v>-0.87365414299999999</v>
      </c>
      <c r="U140" s="1">
        <v>3.7700000000000001E-16</v>
      </c>
      <c r="V140" s="1">
        <v>7.91E-38</v>
      </c>
      <c r="W140" s="1">
        <v>4.0300000000000002E-22</v>
      </c>
      <c r="X140">
        <v>1</v>
      </c>
    </row>
    <row r="141" spans="1:24" x14ac:dyDescent="0.25">
      <c r="A141" t="s">
        <v>395</v>
      </c>
      <c r="B141" t="s">
        <v>65</v>
      </c>
      <c r="C141" t="s">
        <v>229</v>
      </c>
      <c r="D141">
        <v>-0.76580789500000002</v>
      </c>
      <c r="E141">
        <v>-0.21528809700000001</v>
      </c>
      <c r="F141">
        <v>-0.24178949960145765</v>
      </c>
      <c r="G141">
        <v>-0.98109599199999997</v>
      </c>
      <c r="H141">
        <v>0.27267436900000003</v>
      </c>
      <c r="I141">
        <f t="shared" si="8"/>
        <v>-1.2228854916014575</v>
      </c>
      <c r="J141">
        <f t="shared" si="9"/>
        <v>0.22742905632450727</v>
      </c>
      <c r="K141">
        <v>-0.95194763900000001</v>
      </c>
      <c r="L141">
        <v>-0.50367231999999995</v>
      </c>
      <c r="M141">
        <v>0.1024183081098506</v>
      </c>
      <c r="N141">
        <v>-1.4556199599999999</v>
      </c>
      <c r="O141">
        <v>0.189138155</v>
      </c>
      <c r="P141">
        <f t="shared" si="10"/>
        <v>-1.3532016508901492</v>
      </c>
      <c r="Q141">
        <f t="shared" si="11"/>
        <v>0.20534743396026942</v>
      </c>
      <c r="R141">
        <f>+AVERAGE(O141,H141)</f>
        <v>0.23090626200000003</v>
      </c>
      <c r="S141">
        <f>+AVERAGE(E141,L141)</f>
        <v>-0.35948020849999995</v>
      </c>
      <c r="T141">
        <f>+AVERAGE(G141,N141)</f>
        <v>-1.2183579760000001</v>
      </c>
      <c r="U141">
        <v>0.98500765199999996</v>
      </c>
      <c r="V141" s="1">
        <v>8.32E-24</v>
      </c>
      <c r="W141">
        <v>1.498524E-2</v>
      </c>
      <c r="X141">
        <v>7.1099999999999997E-6</v>
      </c>
    </row>
    <row r="142" spans="1:24" x14ac:dyDescent="0.25">
      <c r="A142" t="s">
        <v>395</v>
      </c>
      <c r="B142" t="s">
        <v>65</v>
      </c>
      <c r="C142" t="s">
        <v>175</v>
      </c>
      <c r="D142">
        <v>-0.76580789500000002</v>
      </c>
      <c r="E142">
        <v>2.8634785999999999E-2</v>
      </c>
      <c r="F142">
        <v>-0.24178949960145765</v>
      </c>
      <c r="G142">
        <v>-0.73717310899999999</v>
      </c>
      <c r="H142">
        <v>0.32362261599999997</v>
      </c>
      <c r="I142">
        <f t="shared" si="8"/>
        <v>-0.97896260860145767</v>
      </c>
      <c r="J142">
        <f t="shared" si="9"/>
        <v>0.27309767327686757</v>
      </c>
      <c r="K142">
        <v>-0.95194763900000001</v>
      </c>
      <c r="L142">
        <v>6.6858204000000004E-2</v>
      </c>
      <c r="M142">
        <v>0.1024183081098506</v>
      </c>
      <c r="N142">
        <v>-0.88508943600000001</v>
      </c>
      <c r="O142">
        <v>0.29212423399999998</v>
      </c>
      <c r="P142">
        <f t="shared" si="10"/>
        <v>-0.78267112689014939</v>
      </c>
      <c r="Q142">
        <f t="shared" si="11"/>
        <v>0.31374448278854317</v>
      </c>
      <c r="R142">
        <f>+AVERAGE(O142,H142)</f>
        <v>0.30787342499999998</v>
      </c>
      <c r="S142">
        <f>+AVERAGE(E142,L142)</f>
        <v>4.7746495E-2</v>
      </c>
      <c r="T142">
        <f>+AVERAGE(G142,N142)</f>
        <v>-0.81113127249999994</v>
      </c>
      <c r="U142" s="1">
        <v>1.3799999999999999E-13</v>
      </c>
      <c r="V142" s="1">
        <v>1.8800000000000001E-35</v>
      </c>
      <c r="W142" s="1">
        <v>2.3499999999999998E-18</v>
      </c>
      <c r="X142">
        <v>1</v>
      </c>
    </row>
    <row r="143" spans="1:24" x14ac:dyDescent="0.25">
      <c r="A143" t="s">
        <v>395</v>
      </c>
      <c r="B143" t="s">
        <v>31</v>
      </c>
      <c r="C143" t="s">
        <v>69</v>
      </c>
      <c r="D143">
        <v>-0.76580789500000002</v>
      </c>
      <c r="E143">
        <v>0.127201867</v>
      </c>
      <c r="F143">
        <v>-0.40815884462967861</v>
      </c>
      <c r="G143">
        <v>-0.63860602799999999</v>
      </c>
      <c r="H143">
        <v>0.34556171699999999</v>
      </c>
      <c r="I143">
        <f t="shared" si="8"/>
        <v>-1.0467648726296785</v>
      </c>
      <c r="J143">
        <f t="shared" si="9"/>
        <v>0.25984681780689034</v>
      </c>
      <c r="K143">
        <v>-0.95194763900000001</v>
      </c>
      <c r="L143">
        <v>0.22528002499999999</v>
      </c>
      <c r="M143">
        <v>-0.66911011404127352</v>
      </c>
      <c r="N143">
        <v>-0.72666761499999999</v>
      </c>
      <c r="O143">
        <v>0.32592642199999999</v>
      </c>
      <c r="P143">
        <f t="shared" si="10"/>
        <v>-1.3957777280412735</v>
      </c>
      <c r="Q143">
        <f t="shared" si="11"/>
        <v>0.19848697719706263</v>
      </c>
      <c r="R143">
        <f>+AVERAGE(O143,H143)</f>
        <v>0.33574406950000002</v>
      </c>
      <c r="S143">
        <f>+AVERAGE(E143,L143)</f>
        <v>0.17624094600000001</v>
      </c>
      <c r="T143">
        <f>+AVERAGE(G143,N143)</f>
        <v>-0.68263682150000005</v>
      </c>
      <c r="U143" s="1">
        <v>2.08E-17</v>
      </c>
      <c r="V143" s="1">
        <v>2.4800000000000002E-41</v>
      </c>
      <c r="W143" s="1">
        <v>6.6999999999999997E-23</v>
      </c>
      <c r="X143">
        <v>1</v>
      </c>
    </row>
    <row r="144" spans="1:24" x14ac:dyDescent="0.25">
      <c r="A144" t="s">
        <v>395</v>
      </c>
      <c r="B144" t="s">
        <v>48</v>
      </c>
      <c r="C144" t="s">
        <v>148</v>
      </c>
      <c r="D144">
        <v>-0.76580789500000002</v>
      </c>
      <c r="E144">
        <v>0.22006398599999999</v>
      </c>
      <c r="F144">
        <v>0.55710350143866183</v>
      </c>
      <c r="G144">
        <v>-0.54574390800000006</v>
      </c>
      <c r="H144">
        <v>0.36685241699999999</v>
      </c>
      <c r="I144">
        <f t="shared" si="8"/>
        <v>1.1359592438661803E-2</v>
      </c>
      <c r="J144">
        <f t="shared" si="9"/>
        <v>0.50283986757160792</v>
      </c>
      <c r="K144">
        <v>-0.95194763900000001</v>
      </c>
      <c r="L144">
        <v>-0.23280715599999999</v>
      </c>
      <c r="M144">
        <v>1.025118027290626</v>
      </c>
      <c r="N144">
        <v>-1.1847547949999999</v>
      </c>
      <c r="O144">
        <v>0.234198349</v>
      </c>
      <c r="P144">
        <f t="shared" si="10"/>
        <v>-0.15963676770937396</v>
      </c>
      <c r="Q144">
        <f t="shared" si="11"/>
        <v>0.46017534612333472</v>
      </c>
      <c r="R144">
        <f>+AVERAGE(O144,H144)</f>
        <v>0.30052538299999998</v>
      </c>
      <c r="S144">
        <f>+AVERAGE(E144,L144)</f>
        <v>-6.3715849999999991E-3</v>
      </c>
      <c r="T144">
        <f>+AVERAGE(G144,N144)</f>
        <v>-0.86524935149999993</v>
      </c>
      <c r="U144" s="1">
        <v>1.0099999999999999E-14</v>
      </c>
      <c r="V144" s="1">
        <v>1.1399999999999999E-36</v>
      </c>
      <c r="W144" s="1">
        <v>1.08E-20</v>
      </c>
      <c r="X144">
        <v>1</v>
      </c>
    </row>
    <row r="145" spans="1:24" x14ac:dyDescent="0.25">
      <c r="A145" t="s">
        <v>395</v>
      </c>
      <c r="B145" t="s">
        <v>12</v>
      </c>
      <c r="C145" t="s">
        <v>13</v>
      </c>
      <c r="D145">
        <v>-0.76580789500000002</v>
      </c>
      <c r="E145">
        <v>-1.0817496470000001</v>
      </c>
      <c r="F145">
        <v>0.26350859048821873</v>
      </c>
      <c r="G145">
        <v>-1.847557541</v>
      </c>
      <c r="H145">
        <v>0.13615992499999999</v>
      </c>
      <c r="I145">
        <f t="shared" si="8"/>
        <v>-1.5840489515117815</v>
      </c>
      <c r="J145">
        <f t="shared" si="9"/>
        <v>0.1702228158612909</v>
      </c>
      <c r="K145">
        <v>-0.95194763900000001</v>
      </c>
      <c r="L145">
        <v>-1.2665710240000001</v>
      </c>
      <c r="M145">
        <v>-1.2208396677130032E-2</v>
      </c>
      <c r="N145">
        <v>-2.2185186639999999</v>
      </c>
      <c r="O145">
        <v>9.8099789000000007E-2</v>
      </c>
      <c r="P145">
        <f t="shared" si="10"/>
        <v>-2.2307270596771303</v>
      </c>
      <c r="Q145">
        <f t="shared" si="11"/>
        <v>9.702492383166729E-2</v>
      </c>
      <c r="R145">
        <f>+AVERAGE(O145,H145)</f>
        <v>0.117129857</v>
      </c>
      <c r="S145">
        <f>+AVERAGE(E145,L145)</f>
        <v>-1.1741603355000001</v>
      </c>
      <c r="T145">
        <f>+AVERAGE(G145,N145)</f>
        <v>-2.0330381024999999</v>
      </c>
      <c r="U145" s="1">
        <v>1.64E-44</v>
      </c>
      <c r="V145">
        <v>1</v>
      </c>
      <c r="W145" s="1">
        <v>1.06E-47</v>
      </c>
      <c r="X145" s="1">
        <v>1.25E-71</v>
      </c>
    </row>
    <row r="146" spans="1:24" x14ac:dyDescent="0.25">
      <c r="A146" t="s">
        <v>395</v>
      </c>
      <c r="B146" t="s">
        <v>42</v>
      </c>
      <c r="C146" t="s">
        <v>61</v>
      </c>
      <c r="D146">
        <v>-0.76580789500000002</v>
      </c>
      <c r="E146">
        <v>0.15296684599999999</v>
      </c>
      <c r="F146">
        <v>-4.9441097480157715E-2</v>
      </c>
      <c r="G146">
        <v>-0.61284104900000003</v>
      </c>
      <c r="H146">
        <v>0.35141138900000002</v>
      </c>
      <c r="I146">
        <f t="shared" si="8"/>
        <v>-0.66228214648015771</v>
      </c>
      <c r="J146">
        <f t="shared" si="9"/>
        <v>0.34022714547930122</v>
      </c>
      <c r="K146">
        <v>-0.95194763900000001</v>
      </c>
      <c r="L146">
        <v>0.18969113100000001</v>
      </c>
      <c r="M146">
        <v>0.143403965745907</v>
      </c>
      <c r="N146">
        <v>-0.76225650899999997</v>
      </c>
      <c r="O146">
        <v>0.31815655399999998</v>
      </c>
      <c r="P146">
        <f t="shared" si="10"/>
        <v>-0.61885254225409303</v>
      </c>
      <c r="Q146">
        <f t="shared" si="11"/>
        <v>0.35004246773857972</v>
      </c>
      <c r="R146">
        <f>+AVERAGE(O146,H146)</f>
        <v>0.3347839715</v>
      </c>
      <c r="S146">
        <f>+AVERAGE(E146,L146)</f>
        <v>0.1713289885</v>
      </c>
      <c r="T146">
        <f>+AVERAGE(G146,N146)</f>
        <v>-0.687548779</v>
      </c>
      <c r="U146" s="1">
        <v>5.9499999999999999E-18</v>
      </c>
      <c r="V146" s="1">
        <v>1.02E-40</v>
      </c>
      <c r="W146" s="1">
        <v>3.4000000000000001E-23</v>
      </c>
      <c r="X146">
        <v>1</v>
      </c>
    </row>
    <row r="147" spans="1:24" x14ac:dyDescent="0.25">
      <c r="A147" t="s">
        <v>395</v>
      </c>
      <c r="B147" t="s">
        <v>65</v>
      </c>
      <c r="C147" t="s">
        <v>172</v>
      </c>
      <c r="D147">
        <v>-0.76580789500000002</v>
      </c>
      <c r="E147">
        <v>0.21951211800000001</v>
      </c>
      <c r="F147">
        <v>-0.24178949960145765</v>
      </c>
      <c r="G147">
        <v>-0.54629577600000001</v>
      </c>
      <c r="H147">
        <v>0.36672424300000001</v>
      </c>
      <c r="I147">
        <f t="shared" si="8"/>
        <v>-0.78808527660145766</v>
      </c>
      <c r="J147">
        <f t="shared" si="9"/>
        <v>0.31257994544744494</v>
      </c>
      <c r="K147">
        <v>-0.95194763900000001</v>
      </c>
      <c r="L147">
        <v>0.37523212900000003</v>
      </c>
      <c r="M147">
        <v>0.1024183081098506</v>
      </c>
      <c r="N147">
        <v>-0.57671551099999996</v>
      </c>
      <c r="O147">
        <v>0.35968870400000003</v>
      </c>
      <c r="P147">
        <f t="shared" si="10"/>
        <v>-0.4742972018901494</v>
      </c>
      <c r="Q147">
        <f t="shared" si="11"/>
        <v>0.38359965916688465</v>
      </c>
      <c r="R147">
        <f>+AVERAGE(O147,H147)</f>
        <v>0.36320647350000002</v>
      </c>
      <c r="S147">
        <f>+AVERAGE(E147,L147)</f>
        <v>0.29737212350000003</v>
      </c>
      <c r="T147">
        <f>+AVERAGE(G147,N147)</f>
        <v>-0.56150564349999998</v>
      </c>
      <c r="U147" s="1">
        <v>8.9400000000000003E-14</v>
      </c>
      <c r="V147" s="1">
        <v>1.9899999999999999E-30</v>
      </c>
      <c r="W147" s="1">
        <v>8.8399999999999997E-16</v>
      </c>
      <c r="X147">
        <v>1</v>
      </c>
    </row>
    <row r="148" spans="1:24" x14ac:dyDescent="0.25">
      <c r="A148" t="s">
        <v>395</v>
      </c>
      <c r="B148" t="s">
        <v>62</v>
      </c>
      <c r="C148" t="s">
        <v>251</v>
      </c>
      <c r="D148">
        <v>-0.76580789500000002</v>
      </c>
      <c r="E148">
        <v>-8.0227350000000003E-2</v>
      </c>
      <c r="F148">
        <v>0.33310825262365334</v>
      </c>
      <c r="G148">
        <v>-0.84603524399999996</v>
      </c>
      <c r="H148">
        <v>0.300265216</v>
      </c>
      <c r="I148">
        <f t="shared" si="8"/>
        <v>-0.51292699237634665</v>
      </c>
      <c r="J148">
        <f t="shared" si="9"/>
        <v>0.37450762124678993</v>
      </c>
      <c r="K148">
        <v>-0.95194763900000001</v>
      </c>
      <c r="L148">
        <v>0.136536242</v>
      </c>
      <c r="M148">
        <v>0.5567754477651996</v>
      </c>
      <c r="N148">
        <v>-0.81541139699999998</v>
      </c>
      <c r="O148">
        <v>0.30673855999999999</v>
      </c>
      <c r="P148">
        <f t="shared" si="10"/>
        <v>-0.25863594923480038</v>
      </c>
      <c r="Q148">
        <f t="shared" si="11"/>
        <v>0.43569905160277156</v>
      </c>
      <c r="R148">
        <f>+AVERAGE(O148,H148)</f>
        <v>0.303501888</v>
      </c>
      <c r="S148">
        <f>+AVERAGE(E148,L148)</f>
        <v>2.8154446E-2</v>
      </c>
      <c r="T148">
        <f>+AVERAGE(G148,N148)</f>
        <v>-0.83072332049999997</v>
      </c>
      <c r="U148">
        <v>0.99973037099999995</v>
      </c>
      <c r="V148" s="1">
        <v>2.74E-24</v>
      </c>
      <c r="W148">
        <v>2.6465599999999999E-4</v>
      </c>
      <c r="X148">
        <v>4.9699999999999998E-6</v>
      </c>
    </row>
    <row r="149" spans="1:24" x14ac:dyDescent="0.25">
      <c r="A149" t="s">
        <v>395</v>
      </c>
      <c r="B149" t="s">
        <v>27</v>
      </c>
      <c r="C149" t="s">
        <v>231</v>
      </c>
      <c r="D149">
        <v>-0.76580789500000002</v>
      </c>
      <c r="E149">
        <v>7.0002386999999999E-2</v>
      </c>
      <c r="F149">
        <v>0.36676956185289034</v>
      </c>
      <c r="G149">
        <v>-0.69580550799999996</v>
      </c>
      <c r="H149">
        <v>0.33274285599999998</v>
      </c>
      <c r="I149">
        <f t="shared" si="8"/>
        <v>-0.32903594614710974</v>
      </c>
      <c r="J149">
        <f t="shared" si="9"/>
        <v>0.41847521078327682</v>
      </c>
      <c r="K149">
        <v>-0.95194763900000001</v>
      </c>
      <c r="L149">
        <v>0.45444067399999999</v>
      </c>
      <c r="M149">
        <v>0.3511302049154727</v>
      </c>
      <c r="N149">
        <v>-0.49750696500000002</v>
      </c>
      <c r="O149">
        <v>0.37812672000000003</v>
      </c>
      <c r="P149">
        <f t="shared" si="10"/>
        <v>-0.14637676008452732</v>
      </c>
      <c r="Q149">
        <f t="shared" si="11"/>
        <v>0.4634710096862017</v>
      </c>
      <c r="R149">
        <f>+AVERAGE(O149,H149)</f>
        <v>0.355434788</v>
      </c>
      <c r="S149">
        <f>+AVERAGE(E149,L149)</f>
        <v>0.26222153049999997</v>
      </c>
      <c r="T149">
        <f>+AVERAGE(G149,N149)</f>
        <v>-0.59665623649999999</v>
      </c>
      <c r="U149">
        <v>0.99192038000000005</v>
      </c>
      <c r="V149" s="1">
        <v>1.72E-26</v>
      </c>
      <c r="W149">
        <v>8.0796199999999992E-3</v>
      </c>
      <c r="X149" s="1">
        <v>2.5900000000000001E-12</v>
      </c>
    </row>
    <row r="150" spans="1:24" x14ac:dyDescent="0.25">
      <c r="A150" t="s">
        <v>395</v>
      </c>
      <c r="B150" t="s">
        <v>50</v>
      </c>
      <c r="C150" t="s">
        <v>146</v>
      </c>
      <c r="D150">
        <v>-0.76580789500000002</v>
      </c>
      <c r="E150">
        <v>5.8852193999999997E-2</v>
      </c>
      <c r="F150">
        <v>0.35462276651059182</v>
      </c>
      <c r="G150">
        <v>-0.70695570100000005</v>
      </c>
      <c r="H150">
        <v>0.33027186800000002</v>
      </c>
      <c r="I150">
        <f t="shared" si="8"/>
        <v>-0.35233293448940822</v>
      </c>
      <c r="J150">
        <f t="shared" si="9"/>
        <v>0.412816805098561</v>
      </c>
      <c r="K150">
        <v>-0.95194763900000001</v>
      </c>
      <c r="L150">
        <v>0.12821163999999999</v>
      </c>
      <c r="M150">
        <v>0.53261546166894247</v>
      </c>
      <c r="N150">
        <v>-0.82373599900000005</v>
      </c>
      <c r="O150">
        <v>0.30497118699999998</v>
      </c>
      <c r="P150">
        <f t="shared" si="10"/>
        <v>-0.29112053733105758</v>
      </c>
      <c r="Q150">
        <f t="shared" si="11"/>
        <v>0.42772956313527211</v>
      </c>
      <c r="R150">
        <f>+AVERAGE(O150,H150)</f>
        <v>0.3176215275</v>
      </c>
      <c r="S150">
        <f>+AVERAGE(E150,L150)</f>
        <v>9.3531916999999992E-2</v>
      </c>
      <c r="T150">
        <f>+AVERAGE(G150,N150)</f>
        <v>-0.76534585000000011</v>
      </c>
      <c r="U150" s="1">
        <v>9.1700000000000003E-15</v>
      </c>
      <c r="V150" s="1">
        <v>2.2899999999999999E-36</v>
      </c>
      <c r="W150" s="1">
        <v>5.79E-18</v>
      </c>
      <c r="X150">
        <v>1</v>
      </c>
    </row>
    <row r="151" spans="1:24" x14ac:dyDescent="0.25">
      <c r="A151" t="s">
        <v>395</v>
      </c>
      <c r="B151" t="s">
        <v>35</v>
      </c>
      <c r="C151" t="s">
        <v>210</v>
      </c>
      <c r="D151">
        <v>-0.76580789500000002</v>
      </c>
      <c r="E151">
        <v>0.37227780300000002</v>
      </c>
      <c r="F151">
        <v>0</v>
      </c>
      <c r="G151">
        <v>-0.393530092</v>
      </c>
      <c r="H151">
        <v>0.402867792</v>
      </c>
      <c r="I151">
        <f t="shared" si="8"/>
        <v>-0.393530092</v>
      </c>
      <c r="J151">
        <f t="shared" si="9"/>
        <v>0.40286779253925631</v>
      </c>
      <c r="K151">
        <v>-0.95194763900000001</v>
      </c>
      <c r="L151">
        <v>0.46164685999999999</v>
      </c>
      <c r="M151">
        <v>0</v>
      </c>
      <c r="N151">
        <v>-0.49030077999999999</v>
      </c>
      <c r="O151">
        <v>0.37982271400000001</v>
      </c>
      <c r="P151">
        <f t="shared" si="10"/>
        <v>-0.49030077900000002</v>
      </c>
      <c r="Q151">
        <f t="shared" si="11"/>
        <v>0.37982271437108833</v>
      </c>
      <c r="R151">
        <f>+AVERAGE(O151,H151)</f>
        <v>0.391345253</v>
      </c>
      <c r="S151">
        <f>+AVERAGE(E151,L151)</f>
        <v>0.41696233150000001</v>
      </c>
      <c r="T151">
        <f>+AVERAGE(G151,N151)</f>
        <v>-0.44191543599999999</v>
      </c>
      <c r="U151" s="1">
        <v>3.8500000000000001E-8</v>
      </c>
      <c r="V151">
        <v>0.99999996099999999</v>
      </c>
      <c r="W151" s="1">
        <v>7.6299999999999998E-11</v>
      </c>
      <c r="X151" s="1">
        <v>4.8899999999999997E-17</v>
      </c>
    </row>
    <row r="152" spans="1:24" x14ac:dyDescent="0.25">
      <c r="A152" t="s">
        <v>395</v>
      </c>
      <c r="B152" t="s">
        <v>35</v>
      </c>
      <c r="C152" t="s">
        <v>64</v>
      </c>
      <c r="D152">
        <v>-0.76580789500000002</v>
      </c>
      <c r="E152">
        <v>0.18098518199999999</v>
      </c>
      <c r="F152">
        <v>0</v>
      </c>
      <c r="G152">
        <v>-0.58482271299999999</v>
      </c>
      <c r="H152">
        <v>0.357823644</v>
      </c>
      <c r="I152">
        <f t="shared" si="8"/>
        <v>-0.58482271299999999</v>
      </c>
      <c r="J152">
        <f t="shared" si="9"/>
        <v>0.357823644065621</v>
      </c>
      <c r="K152">
        <v>-0.95194763900000001</v>
      </c>
      <c r="L152">
        <v>8.6566986999999998E-2</v>
      </c>
      <c r="M152">
        <v>0</v>
      </c>
      <c r="N152">
        <v>-0.86538065200000003</v>
      </c>
      <c r="O152">
        <v>0.29621639999999999</v>
      </c>
      <c r="P152">
        <f t="shared" si="10"/>
        <v>-0.86538065200000003</v>
      </c>
      <c r="Q152">
        <f t="shared" si="11"/>
        <v>0.29621640046822623</v>
      </c>
      <c r="R152">
        <f>+AVERAGE(O152,H152)</f>
        <v>0.32702002200000002</v>
      </c>
      <c r="S152">
        <f>+AVERAGE(E152,L152)</f>
        <v>0.1337760845</v>
      </c>
      <c r="T152">
        <f>+AVERAGE(G152,N152)</f>
        <v>-0.72510168250000007</v>
      </c>
      <c r="U152" s="1">
        <v>1.13E-17</v>
      </c>
      <c r="V152" s="1">
        <v>5.5E-42</v>
      </c>
      <c r="W152" s="1">
        <v>1.7999999999999999E-21</v>
      </c>
      <c r="X152">
        <v>1</v>
      </c>
    </row>
    <row r="153" spans="1:24" x14ac:dyDescent="0.25">
      <c r="A153" t="s">
        <v>395</v>
      </c>
      <c r="B153" t="s">
        <v>31</v>
      </c>
      <c r="C153" t="s">
        <v>52</v>
      </c>
      <c r="D153">
        <v>-0.76580789500000002</v>
      </c>
      <c r="E153">
        <v>0.16511874700000001</v>
      </c>
      <c r="F153">
        <v>-0.40815884462967861</v>
      </c>
      <c r="G153">
        <v>-0.60068914699999998</v>
      </c>
      <c r="H153">
        <v>0.35418604399999998</v>
      </c>
      <c r="I153">
        <f t="shared" si="8"/>
        <v>-1.0088479926296787</v>
      </c>
      <c r="J153">
        <f t="shared" si="9"/>
        <v>0.26720536096953224</v>
      </c>
      <c r="K153">
        <v>-0.95194763900000001</v>
      </c>
      <c r="L153">
        <v>9.8201055999999995E-2</v>
      </c>
      <c r="M153">
        <v>-0.66911011404127352</v>
      </c>
      <c r="N153">
        <v>-0.85374658299999995</v>
      </c>
      <c r="O153">
        <v>0.29864751699999997</v>
      </c>
      <c r="P153">
        <f t="shared" si="10"/>
        <v>-1.5228566970412736</v>
      </c>
      <c r="Q153">
        <f t="shared" si="11"/>
        <v>0.17904124137551364</v>
      </c>
      <c r="R153">
        <f>+AVERAGE(O153,H153)</f>
        <v>0.3264167805</v>
      </c>
      <c r="S153">
        <f>+AVERAGE(E153,L153)</f>
        <v>0.13165990150000001</v>
      </c>
      <c r="T153">
        <f>+AVERAGE(G153,N153)</f>
        <v>-0.72721786499999996</v>
      </c>
      <c r="U153" s="1">
        <v>4.4200000000000004E-19</v>
      </c>
      <c r="V153" s="1">
        <v>3.43E-47</v>
      </c>
      <c r="W153" s="1">
        <v>3.6299999999999999E-23</v>
      </c>
      <c r="X153">
        <v>1</v>
      </c>
    </row>
    <row r="154" spans="1:24" x14ac:dyDescent="0.25">
      <c r="A154" t="s">
        <v>395</v>
      </c>
      <c r="B154" t="s">
        <v>38</v>
      </c>
      <c r="C154" t="s">
        <v>211</v>
      </c>
      <c r="D154">
        <v>-0.76580789500000002</v>
      </c>
      <c r="E154">
        <v>-0.194616223</v>
      </c>
      <c r="F154">
        <v>-6.8234224002180349E-2</v>
      </c>
      <c r="G154">
        <v>-0.96042411699999997</v>
      </c>
      <c r="H154">
        <v>0.27679328800000003</v>
      </c>
      <c r="I154">
        <f t="shared" si="8"/>
        <v>-1.0286583420021804</v>
      </c>
      <c r="J154">
        <f t="shared" si="9"/>
        <v>0.26334429521949015</v>
      </c>
      <c r="K154">
        <v>-0.95194763900000001</v>
      </c>
      <c r="L154">
        <v>-7.6364970000000004E-2</v>
      </c>
      <c r="M154">
        <v>0.23599397861893998</v>
      </c>
      <c r="N154">
        <v>-1.0283126090000001</v>
      </c>
      <c r="O154">
        <v>0.26341137100000001</v>
      </c>
      <c r="P154">
        <f t="shared" si="10"/>
        <v>-0.7923186303810601</v>
      </c>
      <c r="Q154">
        <f t="shared" si="11"/>
        <v>0.31167103146316166</v>
      </c>
      <c r="R154">
        <f>+AVERAGE(O154,H154)</f>
        <v>0.27010232950000002</v>
      </c>
      <c r="S154">
        <f>+AVERAGE(E154,L154)</f>
        <v>-0.1354905965</v>
      </c>
      <c r="T154">
        <f>+AVERAGE(G154,N154)</f>
        <v>-0.99436836299999998</v>
      </c>
      <c r="U154">
        <v>2.3200000000000001E-5</v>
      </c>
      <c r="V154" s="1">
        <v>1.8099999999999999E-29</v>
      </c>
      <c r="W154">
        <v>0.99997681400000005</v>
      </c>
      <c r="X154" s="1">
        <v>2.8599999999999999E-20</v>
      </c>
    </row>
    <row r="155" spans="1:24" x14ac:dyDescent="0.25">
      <c r="A155" t="s">
        <v>395</v>
      </c>
      <c r="B155" t="s">
        <v>89</v>
      </c>
      <c r="C155" t="s">
        <v>180</v>
      </c>
      <c r="D155">
        <v>-0.76580789500000002</v>
      </c>
      <c r="E155">
        <v>0.25725864599999998</v>
      </c>
      <c r="F155">
        <v>0.30158677788175303</v>
      </c>
      <c r="G155">
        <v>-0.50854924800000001</v>
      </c>
      <c r="H155">
        <v>0.37553367700000001</v>
      </c>
      <c r="I155">
        <f t="shared" si="8"/>
        <v>-0.20696247111824706</v>
      </c>
      <c r="J155">
        <f t="shared" si="9"/>
        <v>0.44844328038705683</v>
      </c>
      <c r="K155">
        <v>-0.95194763900000001</v>
      </c>
      <c r="L155">
        <v>0.227288304</v>
      </c>
      <c r="M155">
        <v>0.31251975382699121</v>
      </c>
      <c r="N155">
        <v>-0.72465933500000002</v>
      </c>
      <c r="O155">
        <v>0.32636779199999999</v>
      </c>
      <c r="P155">
        <f t="shared" si="10"/>
        <v>-0.41213958117300881</v>
      </c>
      <c r="Q155">
        <f t="shared" si="11"/>
        <v>0.39839920085628844</v>
      </c>
      <c r="R155">
        <f>+AVERAGE(O155,H155)</f>
        <v>0.35095073450000003</v>
      </c>
      <c r="S155">
        <f>+AVERAGE(E155,L155)</f>
        <v>0.24227347499999999</v>
      </c>
      <c r="T155">
        <f>+AVERAGE(G155,N155)</f>
        <v>-0.61660429150000007</v>
      </c>
      <c r="U155" s="1">
        <v>2.7100000000000001E-13</v>
      </c>
      <c r="V155" s="1">
        <v>6.6699999999999997E-33</v>
      </c>
      <c r="W155" s="1">
        <v>5.44E-14</v>
      </c>
      <c r="X155">
        <v>1</v>
      </c>
    </row>
    <row r="156" spans="1:24" x14ac:dyDescent="0.25">
      <c r="A156" t="s">
        <v>395</v>
      </c>
      <c r="B156" t="s">
        <v>38</v>
      </c>
      <c r="C156" t="s">
        <v>254</v>
      </c>
      <c r="D156">
        <v>-0.76580789500000002</v>
      </c>
      <c r="E156">
        <v>0.22217400200000001</v>
      </c>
      <c r="F156">
        <v>-6.8234224002180349E-2</v>
      </c>
      <c r="G156">
        <v>-0.54363389299999998</v>
      </c>
      <c r="H156">
        <v>0.36734265199999999</v>
      </c>
      <c r="I156">
        <f t="shared" si="8"/>
        <v>-0.61186811700218036</v>
      </c>
      <c r="J156">
        <f t="shared" si="9"/>
        <v>0.35163317304063274</v>
      </c>
      <c r="K156">
        <v>-0.95194763900000001</v>
      </c>
      <c r="L156">
        <v>0.11199429900000001</v>
      </c>
      <c r="M156">
        <v>0.23599397861893998</v>
      </c>
      <c r="N156">
        <v>-0.83995333999999999</v>
      </c>
      <c r="O156">
        <v>0.30154461100000002</v>
      </c>
      <c r="P156">
        <f t="shared" si="10"/>
        <v>-0.60395936138105999</v>
      </c>
      <c r="Q156">
        <f t="shared" si="11"/>
        <v>0.35343837757187457</v>
      </c>
      <c r="R156">
        <f>+AVERAGE(O156,H156)</f>
        <v>0.3344436315</v>
      </c>
      <c r="S156">
        <f>+AVERAGE(E156,L156)</f>
        <v>0.1670841505</v>
      </c>
      <c r="T156">
        <f>+AVERAGE(G156,N156)</f>
        <v>-0.69179361650000004</v>
      </c>
      <c r="U156">
        <v>0.99980597199999999</v>
      </c>
      <c r="V156" s="1">
        <v>4.4699999999999998E-22</v>
      </c>
      <c r="W156">
        <v>5.0500000000000001E-5</v>
      </c>
      <c r="X156">
        <v>1.4349E-4</v>
      </c>
    </row>
    <row r="157" spans="1:24" x14ac:dyDescent="0.25">
      <c r="A157" t="s">
        <v>395</v>
      </c>
      <c r="B157" t="s">
        <v>31</v>
      </c>
      <c r="C157" t="s">
        <v>169</v>
      </c>
      <c r="D157">
        <v>-0.76580789500000002</v>
      </c>
      <c r="E157">
        <v>0.102421304</v>
      </c>
      <c r="F157">
        <v>-0.40815884462967861</v>
      </c>
      <c r="G157">
        <v>-0.66338659099999997</v>
      </c>
      <c r="H157">
        <v>0.339979272</v>
      </c>
      <c r="I157">
        <f t="shared" si="8"/>
        <v>-1.0715454356296785</v>
      </c>
      <c r="J157">
        <f t="shared" si="9"/>
        <v>0.25510929616188172</v>
      </c>
      <c r="K157">
        <v>-0.95194763900000001</v>
      </c>
      <c r="L157">
        <v>8.8364889999999995E-3</v>
      </c>
      <c r="M157">
        <v>-0.66911011404127352</v>
      </c>
      <c r="N157">
        <v>-0.94311115000000001</v>
      </c>
      <c r="O157">
        <v>0.28027233299999998</v>
      </c>
      <c r="P157">
        <f t="shared" si="10"/>
        <v>-1.6122212640412736</v>
      </c>
      <c r="Q157">
        <f t="shared" si="11"/>
        <v>0.1662804486307603</v>
      </c>
      <c r="R157">
        <f>+AVERAGE(O157,H157)</f>
        <v>0.31012580249999999</v>
      </c>
      <c r="S157">
        <f>+AVERAGE(E157,L157)</f>
        <v>5.5628896500000004E-2</v>
      </c>
      <c r="T157">
        <f>+AVERAGE(G157,N157)</f>
        <v>-0.80324887050000005</v>
      </c>
      <c r="U157" s="1">
        <v>8.0499999999999998E-14</v>
      </c>
      <c r="V157" s="1">
        <v>1.13E-34</v>
      </c>
      <c r="W157" s="1">
        <v>4.5399999999999998E-16</v>
      </c>
      <c r="X157">
        <v>1</v>
      </c>
    </row>
    <row r="158" spans="1:24" x14ac:dyDescent="0.25">
      <c r="A158" t="s">
        <v>395</v>
      </c>
      <c r="B158" t="s">
        <v>50</v>
      </c>
      <c r="C158" t="s">
        <v>191</v>
      </c>
      <c r="D158">
        <v>-0.76580789500000002</v>
      </c>
      <c r="E158">
        <v>4.2313189000000001E-2</v>
      </c>
      <c r="F158">
        <v>0.35462276651059182</v>
      </c>
      <c r="G158">
        <v>-0.72349470599999999</v>
      </c>
      <c r="H158">
        <v>0.32662388999999997</v>
      </c>
      <c r="I158">
        <f t="shared" si="8"/>
        <v>-0.36887193948940816</v>
      </c>
      <c r="J158">
        <f t="shared" si="9"/>
        <v>0.40881362885297956</v>
      </c>
      <c r="K158">
        <v>-0.95194763900000001</v>
      </c>
      <c r="L158">
        <v>0.12821163999999999</v>
      </c>
      <c r="M158">
        <v>0.53261546166894247</v>
      </c>
      <c r="N158">
        <v>-0.82373599900000005</v>
      </c>
      <c r="O158">
        <v>0.30497118699999998</v>
      </c>
      <c r="P158">
        <f t="shared" si="10"/>
        <v>-0.29112053733105758</v>
      </c>
      <c r="Q158">
        <f t="shared" si="11"/>
        <v>0.42772956313527211</v>
      </c>
      <c r="R158">
        <f>+AVERAGE(O158,H158)</f>
        <v>0.31579753849999997</v>
      </c>
      <c r="S158">
        <f>+AVERAGE(E158,L158)</f>
        <v>8.5262414499999994E-2</v>
      </c>
      <c r="T158">
        <f>+AVERAGE(G158,N158)</f>
        <v>-0.77361535250000002</v>
      </c>
      <c r="U158" s="1">
        <v>1.98E-12</v>
      </c>
      <c r="V158" s="1">
        <v>4.2500000000000001E-34</v>
      </c>
      <c r="W158" s="1">
        <v>7.3300000000000001E-14</v>
      </c>
      <c r="X158">
        <v>1</v>
      </c>
    </row>
    <row r="159" spans="1:24" x14ac:dyDescent="0.25">
      <c r="A159" t="s">
        <v>395</v>
      </c>
      <c r="B159" t="s">
        <v>33</v>
      </c>
      <c r="C159" t="s">
        <v>102</v>
      </c>
      <c r="D159">
        <v>-0.76580789500000002</v>
      </c>
      <c r="E159">
        <v>0.18081672900000001</v>
      </c>
      <c r="F159">
        <v>-0.28527186548946204</v>
      </c>
      <c r="G159">
        <v>-0.58499116600000001</v>
      </c>
      <c r="H159">
        <v>0.35778493700000003</v>
      </c>
      <c r="I159">
        <f t="shared" si="8"/>
        <v>-0.87026303148946205</v>
      </c>
      <c r="J159">
        <f t="shared" si="9"/>
        <v>0.2951995735679217</v>
      </c>
      <c r="K159">
        <v>-0.95194763900000001</v>
      </c>
      <c r="L159">
        <v>0.46210085099999998</v>
      </c>
      <c r="M159">
        <v>-0.3346834104896344</v>
      </c>
      <c r="N159">
        <v>-0.48984678799999998</v>
      </c>
      <c r="O159">
        <v>0.37992966099999997</v>
      </c>
      <c r="P159">
        <f t="shared" si="10"/>
        <v>-0.82453019848963449</v>
      </c>
      <c r="Q159">
        <f t="shared" si="11"/>
        <v>0.30480287156083413</v>
      </c>
      <c r="R159">
        <f>+AVERAGE(O159,H159)</f>
        <v>0.36885729899999997</v>
      </c>
      <c r="S159">
        <f>+AVERAGE(E159,L159)</f>
        <v>0.32145878999999999</v>
      </c>
      <c r="T159">
        <f>+AVERAGE(G159,N159)</f>
        <v>-0.53741897699999996</v>
      </c>
      <c r="U159" s="1">
        <v>3.6200000000000002E-16</v>
      </c>
      <c r="V159" s="1">
        <v>9.8500000000000005E-39</v>
      </c>
      <c r="W159" s="1">
        <v>6.8399999999999996E-21</v>
      </c>
      <c r="X159">
        <v>1</v>
      </c>
    </row>
    <row r="160" spans="1:24" x14ac:dyDescent="0.25">
      <c r="A160" t="s">
        <v>395</v>
      </c>
      <c r="B160" t="s">
        <v>29</v>
      </c>
      <c r="C160" t="s">
        <v>165</v>
      </c>
      <c r="D160">
        <v>-0.76580789500000002</v>
      </c>
      <c r="E160">
        <v>0.15241041899999999</v>
      </c>
      <c r="F160">
        <v>0.20639898313457225</v>
      </c>
      <c r="G160">
        <v>-0.61339747600000005</v>
      </c>
      <c r="H160">
        <v>0.35128457800000001</v>
      </c>
      <c r="I160">
        <f t="shared" si="8"/>
        <v>-0.40699849286542777</v>
      </c>
      <c r="J160">
        <f t="shared" si="9"/>
        <v>0.39963204415214254</v>
      </c>
      <c r="K160">
        <v>-0.95194763900000001</v>
      </c>
      <c r="L160">
        <v>0.19931090200000001</v>
      </c>
      <c r="M160">
        <v>0.1319356394463834</v>
      </c>
      <c r="N160">
        <v>-0.75263673799999997</v>
      </c>
      <c r="O160">
        <v>0.32024704100000001</v>
      </c>
      <c r="P160">
        <f t="shared" si="10"/>
        <v>-0.62070109755361658</v>
      </c>
      <c r="Q160">
        <f t="shared" si="11"/>
        <v>0.34962201453145603</v>
      </c>
      <c r="R160">
        <f>+AVERAGE(O160,H160)</f>
        <v>0.33576580950000001</v>
      </c>
      <c r="S160">
        <f>+AVERAGE(E160,L160)</f>
        <v>0.17586066049999999</v>
      </c>
      <c r="T160">
        <f>+AVERAGE(G160,N160)</f>
        <v>-0.68301710699999996</v>
      </c>
      <c r="U160" s="1">
        <v>5.7899999999999998E-14</v>
      </c>
      <c r="V160" s="1">
        <v>7.4200000000000002E-34</v>
      </c>
      <c r="W160" s="1">
        <v>1.9699999999999999E-19</v>
      </c>
      <c r="X160">
        <v>1</v>
      </c>
    </row>
    <row r="161" spans="1:24" x14ac:dyDescent="0.25">
      <c r="A161" t="s">
        <v>395</v>
      </c>
      <c r="B161" t="s">
        <v>42</v>
      </c>
      <c r="C161" t="s">
        <v>193</v>
      </c>
      <c r="D161">
        <v>-0.76580789500000002</v>
      </c>
      <c r="E161">
        <v>0.28687832200000002</v>
      </c>
      <c r="F161">
        <v>-4.9441097480157715E-2</v>
      </c>
      <c r="G161">
        <v>-0.478929573</v>
      </c>
      <c r="H161">
        <v>0.382504923</v>
      </c>
      <c r="I161">
        <f t="shared" si="8"/>
        <v>-0.52837067048015773</v>
      </c>
      <c r="J161">
        <f t="shared" si="9"/>
        <v>0.37089698338028693</v>
      </c>
      <c r="K161">
        <v>-0.95194763900000001</v>
      </c>
      <c r="L161">
        <v>0.42904441500000001</v>
      </c>
      <c r="M161">
        <v>0.143403965745907</v>
      </c>
      <c r="N161">
        <v>-0.52290322499999997</v>
      </c>
      <c r="O161">
        <v>0.37217361399999999</v>
      </c>
      <c r="P161">
        <f t="shared" si="10"/>
        <v>-0.37949925825409303</v>
      </c>
      <c r="Q161">
        <f t="shared" si="11"/>
        <v>0.40624767556103575</v>
      </c>
      <c r="R161">
        <f>+AVERAGE(O161,H161)</f>
        <v>0.37733926849999999</v>
      </c>
      <c r="S161">
        <f>+AVERAGE(E161,L161)</f>
        <v>0.35796136850000004</v>
      </c>
      <c r="T161">
        <f>+AVERAGE(G161,N161)</f>
        <v>-0.50091639899999996</v>
      </c>
      <c r="U161" s="1">
        <v>3.12E-12</v>
      </c>
      <c r="V161" s="1">
        <v>3.0899999999999999E-35</v>
      </c>
      <c r="W161" s="1">
        <v>4.0300000000000003E-17</v>
      </c>
      <c r="X161">
        <v>1</v>
      </c>
    </row>
    <row r="162" spans="1:24" x14ac:dyDescent="0.25">
      <c r="A162" t="s">
        <v>395</v>
      </c>
      <c r="B162" t="s">
        <v>35</v>
      </c>
      <c r="C162" t="s">
        <v>110</v>
      </c>
      <c r="D162">
        <v>-0.76580789500000002</v>
      </c>
      <c r="E162">
        <v>0.35673644700000001</v>
      </c>
      <c r="F162">
        <v>0</v>
      </c>
      <c r="G162">
        <v>-0.409071448</v>
      </c>
      <c r="H162">
        <v>0.39913479099999999</v>
      </c>
      <c r="I162">
        <f t="shared" si="8"/>
        <v>-0.409071448</v>
      </c>
      <c r="J162">
        <f t="shared" si="9"/>
        <v>0.39913479138731217</v>
      </c>
      <c r="K162">
        <v>-0.95194763900000001</v>
      </c>
      <c r="L162">
        <v>0.216006329</v>
      </c>
      <c r="M162">
        <v>0</v>
      </c>
      <c r="N162">
        <v>-0.73594130999999996</v>
      </c>
      <c r="O162">
        <v>0.32389230400000002</v>
      </c>
      <c r="P162">
        <f t="shared" si="10"/>
        <v>-0.73594131000000007</v>
      </c>
      <c r="Q162">
        <f t="shared" si="11"/>
        <v>0.32389230432590566</v>
      </c>
      <c r="R162">
        <f>+AVERAGE(O162,H162)</f>
        <v>0.36151354749999998</v>
      </c>
      <c r="S162">
        <f>+AVERAGE(E162,L162)</f>
        <v>0.286371388</v>
      </c>
      <c r="T162">
        <f>+AVERAGE(G162,N162)</f>
        <v>-0.57250637900000001</v>
      </c>
      <c r="U162" s="1">
        <v>6.4600000000000004E-16</v>
      </c>
      <c r="V162" s="1">
        <v>2.7600000000000001E-37</v>
      </c>
      <c r="W162" s="1">
        <v>1.8899999999999998E-20</v>
      </c>
      <c r="X162">
        <v>1</v>
      </c>
    </row>
    <row r="163" spans="1:24" x14ac:dyDescent="0.25">
      <c r="A163" t="s">
        <v>395</v>
      </c>
      <c r="B163" t="s">
        <v>27</v>
      </c>
      <c r="C163" t="s">
        <v>72</v>
      </c>
      <c r="D163">
        <v>-0.76580789500000002</v>
      </c>
      <c r="E163">
        <v>-8.0421959999999997E-3</v>
      </c>
      <c r="F163">
        <v>0.36676956185289034</v>
      </c>
      <c r="G163">
        <v>-0.77385009000000005</v>
      </c>
      <c r="H163">
        <v>0.31564684300000001</v>
      </c>
      <c r="I163">
        <f t="shared" si="8"/>
        <v>-0.40708052914710968</v>
      </c>
      <c r="J163">
        <f t="shared" si="9"/>
        <v>0.39961236165486491</v>
      </c>
      <c r="K163">
        <v>-0.95194763900000001</v>
      </c>
      <c r="L163">
        <v>-0.47587483600000002</v>
      </c>
      <c r="M163">
        <v>0.3511302049154727</v>
      </c>
      <c r="N163">
        <v>-1.4278224749999999</v>
      </c>
      <c r="O163">
        <v>0.19343819500000001</v>
      </c>
      <c r="P163">
        <f t="shared" si="10"/>
        <v>-1.0766922700845274</v>
      </c>
      <c r="Q163">
        <f t="shared" si="11"/>
        <v>0.25413248405039607</v>
      </c>
      <c r="R163">
        <f>+AVERAGE(O163,H163)</f>
        <v>0.25454251900000002</v>
      </c>
      <c r="S163">
        <f>+AVERAGE(E163,L163)</f>
        <v>-0.24195851600000001</v>
      </c>
      <c r="T163">
        <f>+AVERAGE(G163,N163)</f>
        <v>-1.1008362825</v>
      </c>
      <c r="U163" s="1">
        <v>2.8100000000000003E-17</v>
      </c>
      <c r="V163" s="1">
        <v>2.6999999999999997E-35</v>
      </c>
      <c r="W163" s="1">
        <v>1.4299999999999999E-20</v>
      </c>
      <c r="X163">
        <v>1</v>
      </c>
    </row>
    <row r="164" spans="1:24" x14ac:dyDescent="0.25">
      <c r="A164" t="s">
        <v>395</v>
      </c>
      <c r="B164" t="s">
        <v>50</v>
      </c>
      <c r="C164" t="s">
        <v>51</v>
      </c>
      <c r="D164">
        <v>-0.76580789500000002</v>
      </c>
      <c r="E164">
        <v>0.105242496</v>
      </c>
      <c r="F164">
        <v>0.35462276651059182</v>
      </c>
      <c r="G164">
        <v>-0.66056539800000003</v>
      </c>
      <c r="H164">
        <v>0.34061261399999998</v>
      </c>
      <c r="I164">
        <f t="shared" si="8"/>
        <v>-0.30594263248940817</v>
      </c>
      <c r="J164">
        <f t="shared" si="9"/>
        <v>0.42410540393369567</v>
      </c>
      <c r="K164">
        <v>-0.95194763900000001</v>
      </c>
      <c r="L164">
        <v>7.0219355999999997E-2</v>
      </c>
      <c r="M164">
        <v>0.53261546166894247</v>
      </c>
      <c r="N164">
        <v>-0.88172828299999995</v>
      </c>
      <c r="O164">
        <v>0.29281976399999998</v>
      </c>
      <c r="P164">
        <f t="shared" si="10"/>
        <v>-0.34911282133105759</v>
      </c>
      <c r="Q164">
        <f t="shared" si="11"/>
        <v>0.41359757611834241</v>
      </c>
      <c r="R164">
        <f>+AVERAGE(O164,H164)</f>
        <v>0.31671618899999998</v>
      </c>
      <c r="S164">
        <f>+AVERAGE(E164,L164)</f>
        <v>8.7730926000000001E-2</v>
      </c>
      <c r="T164">
        <f>+AVERAGE(G164,N164)</f>
        <v>-0.77114684049999993</v>
      </c>
      <c r="U164" s="1">
        <v>3.7499999999999998E-19</v>
      </c>
      <c r="V164" s="1">
        <v>3.8699999999999998E-38</v>
      </c>
      <c r="W164" s="1">
        <v>1.1200000000000001E-23</v>
      </c>
      <c r="X164">
        <v>1</v>
      </c>
    </row>
    <row r="165" spans="1:24" x14ac:dyDescent="0.25">
      <c r="A165" t="s">
        <v>395</v>
      </c>
      <c r="B165" t="s">
        <v>29</v>
      </c>
      <c r="C165" t="s">
        <v>226</v>
      </c>
      <c r="D165">
        <v>-0.76580789500000002</v>
      </c>
      <c r="E165">
        <v>9.5247677000000003E-2</v>
      </c>
      <c r="F165">
        <v>0.20639898313457225</v>
      </c>
      <c r="G165">
        <v>-0.67056021799999999</v>
      </c>
      <c r="H165">
        <v>0.33837140999999998</v>
      </c>
      <c r="I165">
        <f t="shared" si="8"/>
        <v>-0.46416123486542771</v>
      </c>
      <c r="J165">
        <f t="shared" si="9"/>
        <v>0.38599912873026188</v>
      </c>
      <c r="K165">
        <v>-0.95194763900000001</v>
      </c>
      <c r="L165">
        <v>0.105952451</v>
      </c>
      <c r="M165">
        <v>0.1319356394463834</v>
      </c>
      <c r="N165">
        <v>-0.84599518799999995</v>
      </c>
      <c r="O165">
        <v>0.30027363200000001</v>
      </c>
      <c r="P165">
        <f t="shared" si="10"/>
        <v>-0.71405954855361664</v>
      </c>
      <c r="Q165">
        <f t="shared" si="11"/>
        <v>0.32870244966943046</v>
      </c>
      <c r="R165">
        <f>+AVERAGE(O165,H165)</f>
        <v>0.31932252100000003</v>
      </c>
      <c r="S165">
        <f>+AVERAGE(E165,L165)</f>
        <v>0.100600064</v>
      </c>
      <c r="T165">
        <f>+AVERAGE(G165,N165)</f>
        <v>-0.75827770299999997</v>
      </c>
      <c r="U165">
        <v>0.95440658899999997</v>
      </c>
      <c r="V165" s="1">
        <v>2.24E-26</v>
      </c>
      <c r="W165">
        <v>4.5592504999999998E-2</v>
      </c>
      <c r="X165">
        <v>9.0599999999999999E-7</v>
      </c>
    </row>
    <row r="166" spans="1:24" x14ac:dyDescent="0.25">
      <c r="A166" t="s">
        <v>395</v>
      </c>
      <c r="B166" t="s">
        <v>58</v>
      </c>
      <c r="C166" t="s">
        <v>227</v>
      </c>
      <c r="D166">
        <v>-0.76580789500000002</v>
      </c>
      <c r="E166">
        <v>7.2930755E-2</v>
      </c>
      <c r="F166">
        <v>6.292627996845801E-2</v>
      </c>
      <c r="G166">
        <v>-0.69287714</v>
      </c>
      <c r="H166">
        <v>0.33339334500000001</v>
      </c>
      <c r="I166">
        <f t="shared" si="8"/>
        <v>-0.62995086003154199</v>
      </c>
      <c r="J166">
        <f t="shared" si="9"/>
        <v>0.34752168022940211</v>
      </c>
      <c r="K166">
        <v>-0.95194763900000001</v>
      </c>
      <c r="L166">
        <v>0.29131643800000001</v>
      </c>
      <c r="M166">
        <v>0.54289824242765494</v>
      </c>
      <c r="N166">
        <v>-0.66063120099999995</v>
      </c>
      <c r="O166">
        <v>0.34059783500000002</v>
      </c>
      <c r="P166">
        <f t="shared" si="10"/>
        <v>-0.117732958572345</v>
      </c>
      <c r="Q166">
        <f t="shared" si="11"/>
        <v>0.47060071126422315</v>
      </c>
      <c r="R166">
        <f>+AVERAGE(O166,H166)</f>
        <v>0.33699559000000001</v>
      </c>
      <c r="S166">
        <f>+AVERAGE(E166,L166)</f>
        <v>0.18212359650000001</v>
      </c>
      <c r="T166">
        <f>+AVERAGE(G166,N166)</f>
        <v>-0.67675417049999997</v>
      </c>
      <c r="U166">
        <v>0.97510384900000002</v>
      </c>
      <c r="V166">
        <v>2.7599999999999998E-7</v>
      </c>
      <c r="W166">
        <v>2.4895875000000001E-2</v>
      </c>
      <c r="X166" s="1">
        <v>2.16E-10</v>
      </c>
    </row>
    <row r="167" spans="1:24" x14ac:dyDescent="0.25">
      <c r="A167" t="s">
        <v>395</v>
      </c>
      <c r="B167" t="s">
        <v>54</v>
      </c>
      <c r="C167" t="s">
        <v>70</v>
      </c>
      <c r="D167">
        <v>-0.76580789500000002</v>
      </c>
      <c r="E167">
        <v>-6.9675982999999997E-2</v>
      </c>
      <c r="F167">
        <v>0.10108352689561931</v>
      </c>
      <c r="G167">
        <v>-0.83548387800000001</v>
      </c>
      <c r="H167">
        <v>0.30248678299999998</v>
      </c>
      <c r="I167">
        <f t="shared" si="8"/>
        <v>-0.73440035110438073</v>
      </c>
      <c r="J167">
        <f t="shared" si="9"/>
        <v>0.32422984440621816</v>
      </c>
      <c r="K167">
        <v>-0.95194763900000001</v>
      </c>
      <c r="L167">
        <v>0.22425165499999999</v>
      </c>
      <c r="M167">
        <v>0.31611013044056913</v>
      </c>
      <c r="N167">
        <v>-0.72769598400000002</v>
      </c>
      <c r="O167">
        <v>0.32570053100000002</v>
      </c>
      <c r="P167">
        <f t="shared" si="10"/>
        <v>-0.41158585355943089</v>
      </c>
      <c r="Q167">
        <f t="shared" si="11"/>
        <v>0.39853192424676637</v>
      </c>
      <c r="R167">
        <f>+AVERAGE(O167,H167)</f>
        <v>0.31409365700000003</v>
      </c>
      <c r="S167">
        <f>+AVERAGE(E167,L167)</f>
        <v>7.7287835999999999E-2</v>
      </c>
      <c r="T167">
        <f>+AVERAGE(G167,N167)</f>
        <v>-0.78158993100000007</v>
      </c>
      <c r="U167" s="1">
        <v>2.0999999999999999E-17</v>
      </c>
      <c r="V167" s="1">
        <v>1.95E-37</v>
      </c>
      <c r="W167" s="1">
        <v>6.3499999999999999E-23</v>
      </c>
      <c r="X167">
        <v>1</v>
      </c>
    </row>
    <row r="168" spans="1:24" x14ac:dyDescent="0.25">
      <c r="A168" t="s">
        <v>395</v>
      </c>
      <c r="B168" t="s">
        <v>89</v>
      </c>
      <c r="C168" t="s">
        <v>124</v>
      </c>
      <c r="D168">
        <v>-0.76580789500000002</v>
      </c>
      <c r="E168">
        <v>-1.7605128000000001E-2</v>
      </c>
      <c r="F168">
        <v>0.30158677788175303</v>
      </c>
      <c r="G168">
        <v>-0.78341302300000004</v>
      </c>
      <c r="H168">
        <v>0.31358476800000001</v>
      </c>
      <c r="I168">
        <f t="shared" si="8"/>
        <v>-0.48182624511824701</v>
      </c>
      <c r="J168">
        <f t="shared" si="9"/>
        <v>0.38182097687233707</v>
      </c>
      <c r="K168">
        <v>-0.95194763900000001</v>
      </c>
      <c r="L168">
        <v>4.7736643000000002E-2</v>
      </c>
      <c r="M168">
        <v>0.31251975382699121</v>
      </c>
      <c r="N168">
        <v>-0.90421099599999999</v>
      </c>
      <c r="O168">
        <v>0.28818590599999999</v>
      </c>
      <c r="P168">
        <f t="shared" si="10"/>
        <v>-0.59169124217300872</v>
      </c>
      <c r="Q168">
        <f t="shared" si="11"/>
        <v>0.35624689897641099</v>
      </c>
      <c r="R168">
        <f>+AVERAGE(O168,H168)</f>
        <v>0.30088533699999997</v>
      </c>
      <c r="S168">
        <f>+AVERAGE(E168,L168)</f>
        <v>1.5065757500000001E-2</v>
      </c>
      <c r="T168">
        <f>+AVERAGE(G168,N168)</f>
        <v>-0.84381200950000002</v>
      </c>
      <c r="U168" s="1">
        <v>1.69E-15</v>
      </c>
      <c r="V168" s="1">
        <v>7.09E-38</v>
      </c>
      <c r="W168" s="1">
        <v>1.31E-18</v>
      </c>
      <c r="X168">
        <v>1</v>
      </c>
    </row>
    <row r="169" spans="1:24" x14ac:dyDescent="0.25">
      <c r="A169" t="s">
        <v>395</v>
      </c>
      <c r="B169" t="s">
        <v>81</v>
      </c>
      <c r="C169" t="s">
        <v>99</v>
      </c>
      <c r="D169">
        <v>-0.76580789500000002</v>
      </c>
      <c r="E169">
        <v>0.123864155</v>
      </c>
      <c r="F169">
        <v>1.8542134737425525E-2</v>
      </c>
      <c r="G169">
        <v>-0.64194373999999998</v>
      </c>
      <c r="H169">
        <v>0.34480728700000002</v>
      </c>
      <c r="I169">
        <f t="shared" si="8"/>
        <v>-0.62340160526257449</v>
      </c>
      <c r="J169">
        <f t="shared" si="9"/>
        <v>0.34900820527836895</v>
      </c>
      <c r="K169">
        <v>-0.95194763900000001</v>
      </c>
      <c r="L169">
        <v>0.20532642400000001</v>
      </c>
      <c r="M169">
        <v>8.7894785803348752E-2</v>
      </c>
      <c r="N169">
        <v>-0.746621215</v>
      </c>
      <c r="O169">
        <v>0.32155796599999997</v>
      </c>
      <c r="P169">
        <f t="shared" si="10"/>
        <v>-0.65872642919665125</v>
      </c>
      <c r="Q169">
        <f t="shared" si="11"/>
        <v>0.34102575956401388</v>
      </c>
      <c r="R169">
        <f>+AVERAGE(O169,H169)</f>
        <v>0.33318262649999997</v>
      </c>
      <c r="S169">
        <f>+AVERAGE(E169,L169)</f>
        <v>0.16459528950000002</v>
      </c>
      <c r="T169">
        <f>+AVERAGE(G169,N169)</f>
        <v>-0.69428247750000005</v>
      </c>
      <c r="U169" s="1">
        <v>1.9000000000000001E-16</v>
      </c>
      <c r="V169" s="1">
        <v>8.3099999999999997E-39</v>
      </c>
      <c r="W169" s="1">
        <v>1.7599999999999999E-17</v>
      </c>
      <c r="X169">
        <v>1</v>
      </c>
    </row>
    <row r="170" spans="1:24" x14ac:dyDescent="0.25">
      <c r="A170" t="s">
        <v>395</v>
      </c>
      <c r="B170" t="s">
        <v>58</v>
      </c>
      <c r="C170" t="s">
        <v>219</v>
      </c>
      <c r="D170">
        <v>-0.76580789500000002</v>
      </c>
      <c r="E170">
        <v>-7.9113620999999995E-2</v>
      </c>
      <c r="F170">
        <v>6.292627996845801E-2</v>
      </c>
      <c r="G170">
        <v>-0.84492151500000001</v>
      </c>
      <c r="H170">
        <v>0.30049926999999999</v>
      </c>
      <c r="I170">
        <f t="shared" si="8"/>
        <v>-0.78199523603154197</v>
      </c>
      <c r="J170">
        <f t="shared" si="9"/>
        <v>0.3138900264105855</v>
      </c>
      <c r="K170">
        <v>-0.95194763900000001</v>
      </c>
      <c r="L170">
        <v>-0.23769961000000001</v>
      </c>
      <c r="M170">
        <v>0.54289824242765494</v>
      </c>
      <c r="N170">
        <v>-1.1896472490000001</v>
      </c>
      <c r="O170">
        <v>0.23332203100000001</v>
      </c>
      <c r="P170">
        <f t="shared" si="10"/>
        <v>-0.64674900657234513</v>
      </c>
      <c r="Q170">
        <f t="shared" si="11"/>
        <v>0.34372251476106025</v>
      </c>
      <c r="R170">
        <f>+AVERAGE(O170,H170)</f>
        <v>0.26691065050000001</v>
      </c>
      <c r="S170">
        <f>+AVERAGE(E170,L170)</f>
        <v>-0.15840661550000001</v>
      </c>
      <c r="T170">
        <f>+AVERAGE(G170,N170)</f>
        <v>-1.0172843820000002</v>
      </c>
      <c r="U170">
        <v>0.43326408399999999</v>
      </c>
      <c r="V170" s="1">
        <v>1.9999999999999998E-21</v>
      </c>
      <c r="W170">
        <v>0.56673518599999995</v>
      </c>
      <c r="X170">
        <v>7.3099999999999997E-7</v>
      </c>
    </row>
    <row r="171" spans="1:24" x14ac:dyDescent="0.25">
      <c r="A171" t="s">
        <v>395</v>
      </c>
      <c r="B171" t="s">
        <v>35</v>
      </c>
      <c r="C171" t="s">
        <v>217</v>
      </c>
      <c r="D171">
        <v>-0.76580789500000002</v>
      </c>
      <c r="E171">
        <v>0.28081162199999998</v>
      </c>
      <c r="F171">
        <v>0</v>
      </c>
      <c r="G171">
        <v>-0.48499627299999998</v>
      </c>
      <c r="H171">
        <v>0.38107302399999998</v>
      </c>
      <c r="I171">
        <f t="shared" si="8"/>
        <v>-0.48499627300000003</v>
      </c>
      <c r="J171">
        <f t="shared" si="9"/>
        <v>0.38107302423612754</v>
      </c>
      <c r="K171">
        <v>-0.95194763900000001</v>
      </c>
      <c r="L171">
        <v>-0.19143247599999999</v>
      </c>
      <c r="M171">
        <v>0</v>
      </c>
      <c r="N171">
        <v>-1.143380115</v>
      </c>
      <c r="O171">
        <v>0.241700308</v>
      </c>
      <c r="P171">
        <f t="shared" si="10"/>
        <v>-1.143380115</v>
      </c>
      <c r="Q171">
        <f t="shared" si="11"/>
        <v>0.24170030846177532</v>
      </c>
      <c r="R171">
        <f>+AVERAGE(O171,H171)</f>
        <v>0.31138666599999998</v>
      </c>
      <c r="S171">
        <f>+AVERAGE(E171,L171)</f>
        <v>4.4689572999999996E-2</v>
      </c>
      <c r="T171">
        <f>+AVERAGE(G171,N171)</f>
        <v>-0.81418819399999998</v>
      </c>
      <c r="U171">
        <v>0.18871089099999999</v>
      </c>
      <c r="V171" s="1">
        <v>3.0499999999999998E-22</v>
      </c>
      <c r="W171">
        <v>0.81128894600000001</v>
      </c>
      <c r="X171">
        <v>1.6299999999999999E-7</v>
      </c>
    </row>
    <row r="172" spans="1:24" x14ac:dyDescent="0.25">
      <c r="A172" t="s">
        <v>395</v>
      </c>
      <c r="B172" t="s">
        <v>35</v>
      </c>
      <c r="C172" t="s">
        <v>233</v>
      </c>
      <c r="D172">
        <v>-0.76580789500000002</v>
      </c>
      <c r="E172">
        <v>-0.125007484</v>
      </c>
      <c r="F172">
        <v>0</v>
      </c>
      <c r="G172">
        <v>-0.89081537899999996</v>
      </c>
      <c r="H172">
        <v>0.29094159000000003</v>
      </c>
      <c r="I172">
        <f t="shared" si="8"/>
        <v>-0.89081537899999996</v>
      </c>
      <c r="J172">
        <f t="shared" si="9"/>
        <v>0.29094159049572343</v>
      </c>
      <c r="K172">
        <v>-0.95194763900000001</v>
      </c>
      <c r="L172">
        <v>-4.8778665999999998E-2</v>
      </c>
      <c r="M172">
        <v>0</v>
      </c>
      <c r="N172">
        <v>-1.000726306</v>
      </c>
      <c r="O172">
        <v>0.268798645</v>
      </c>
      <c r="P172">
        <f t="shared" si="10"/>
        <v>-1.0007263049999999</v>
      </c>
      <c r="Q172">
        <f t="shared" si="11"/>
        <v>0.26879864510666851</v>
      </c>
      <c r="R172">
        <f>+AVERAGE(O172,H172)</f>
        <v>0.27987011750000002</v>
      </c>
      <c r="S172">
        <f>+AVERAGE(E172,L172)</f>
        <v>-8.6893075E-2</v>
      </c>
      <c r="T172">
        <f>+AVERAGE(G172,N172)</f>
        <v>-0.94577084249999999</v>
      </c>
      <c r="U172">
        <v>0.99407683300000005</v>
      </c>
      <c r="V172" s="1">
        <v>7.4799999999999997E-23</v>
      </c>
      <c r="W172">
        <v>5.9055669999999996E-3</v>
      </c>
      <c r="X172">
        <v>1.7600000000000001E-5</v>
      </c>
    </row>
    <row r="173" spans="1:24" x14ac:dyDescent="0.25">
      <c r="A173" t="s">
        <v>395</v>
      </c>
      <c r="B173" t="s">
        <v>58</v>
      </c>
      <c r="C173" t="s">
        <v>238</v>
      </c>
      <c r="D173">
        <v>-0.76580789500000002</v>
      </c>
      <c r="E173">
        <v>-0.17484967200000001</v>
      </c>
      <c r="F173">
        <v>6.292627996845801E-2</v>
      </c>
      <c r="G173">
        <v>-0.94065756700000003</v>
      </c>
      <c r="H173">
        <v>0.28076753599999998</v>
      </c>
      <c r="I173">
        <f t="shared" si="8"/>
        <v>-0.87773128703154202</v>
      </c>
      <c r="J173">
        <f t="shared" si="9"/>
        <v>0.29364813247086735</v>
      </c>
      <c r="K173">
        <v>-0.95194763900000001</v>
      </c>
      <c r="L173">
        <v>0.46167994800000001</v>
      </c>
      <c r="M173">
        <v>0.54289824242765494</v>
      </c>
      <c r="N173">
        <v>-0.49026769199999998</v>
      </c>
      <c r="O173">
        <v>0.37983050800000001</v>
      </c>
      <c r="P173">
        <f t="shared" si="10"/>
        <v>5.2630551427654937E-2</v>
      </c>
      <c r="Q173">
        <f t="shared" si="11"/>
        <v>0.51315460150404146</v>
      </c>
      <c r="R173">
        <f>+AVERAGE(O173,H173)</f>
        <v>0.330299022</v>
      </c>
      <c r="S173">
        <f>+AVERAGE(E173,L173)</f>
        <v>0.143415138</v>
      </c>
      <c r="T173">
        <f>+AVERAGE(G173,N173)</f>
        <v>-0.71546262949999995</v>
      </c>
      <c r="U173">
        <v>0.99879931399999999</v>
      </c>
      <c r="V173" s="1">
        <v>1.9599999999999999E-22</v>
      </c>
      <c r="W173">
        <v>6.3089500000000002E-4</v>
      </c>
      <c r="X173">
        <v>5.6979000000000003E-4</v>
      </c>
    </row>
    <row r="174" spans="1:24" x14ac:dyDescent="0.25">
      <c r="A174" t="s">
        <v>395</v>
      </c>
      <c r="B174" t="s">
        <v>27</v>
      </c>
      <c r="C174" t="s">
        <v>94</v>
      </c>
      <c r="D174">
        <v>-0.76580789500000002</v>
      </c>
      <c r="E174">
        <v>0.153131296</v>
      </c>
      <c r="F174">
        <v>0.36676956185289034</v>
      </c>
      <c r="G174">
        <v>-0.61267659900000004</v>
      </c>
      <c r="H174">
        <v>0.35144887200000002</v>
      </c>
      <c r="I174">
        <f t="shared" si="8"/>
        <v>-0.24590703714710971</v>
      </c>
      <c r="J174">
        <f t="shared" si="9"/>
        <v>0.43883117180363879</v>
      </c>
      <c r="K174">
        <v>-0.95194763900000001</v>
      </c>
      <c r="L174">
        <v>0.28215282400000002</v>
      </c>
      <c r="M174">
        <v>0.3511302049154727</v>
      </c>
      <c r="N174">
        <v>-0.66979481500000004</v>
      </c>
      <c r="O174">
        <v>0.33854278700000001</v>
      </c>
      <c r="P174">
        <f t="shared" si="10"/>
        <v>-0.31866461008452723</v>
      </c>
      <c r="Q174">
        <f t="shared" si="11"/>
        <v>0.42100122703602583</v>
      </c>
      <c r="R174">
        <f>+AVERAGE(O174,H174)</f>
        <v>0.34499582950000002</v>
      </c>
      <c r="S174">
        <f>+AVERAGE(E174,L174)</f>
        <v>0.21764206000000003</v>
      </c>
      <c r="T174">
        <f>+AVERAGE(G174,N174)</f>
        <v>-0.6412357070000001</v>
      </c>
      <c r="U174" s="1">
        <v>1.4900000000000001E-16</v>
      </c>
      <c r="V174" s="1">
        <v>1.4E-34</v>
      </c>
      <c r="W174" s="1">
        <v>3.8500000000000002E-19</v>
      </c>
      <c r="X174">
        <v>1</v>
      </c>
    </row>
    <row r="175" spans="1:24" x14ac:dyDescent="0.25">
      <c r="A175" t="s">
        <v>395</v>
      </c>
      <c r="B175" t="s">
        <v>45</v>
      </c>
      <c r="C175" t="s">
        <v>134</v>
      </c>
      <c r="D175">
        <v>-0.76580789500000002</v>
      </c>
      <c r="E175">
        <v>2.8611681999999999E-2</v>
      </c>
      <c r="F175">
        <v>-0.58307157706059798</v>
      </c>
      <c r="G175">
        <v>-0.73719621199999996</v>
      </c>
      <c r="H175">
        <v>0.323617559</v>
      </c>
      <c r="I175">
        <f t="shared" si="8"/>
        <v>-1.3202677900605981</v>
      </c>
      <c r="J175">
        <f t="shared" si="9"/>
        <v>0.21077374364031351</v>
      </c>
      <c r="K175">
        <v>-0.95194763900000001</v>
      </c>
      <c r="L175">
        <v>0.21518943700000001</v>
      </c>
      <c r="M175">
        <v>-0.76434299473732881</v>
      </c>
      <c r="N175">
        <v>-0.73675820199999997</v>
      </c>
      <c r="O175">
        <v>0.32371344200000002</v>
      </c>
      <c r="P175">
        <f t="shared" si="10"/>
        <v>-1.5011011967373289</v>
      </c>
      <c r="Q175">
        <f t="shared" si="11"/>
        <v>0.18226134165300883</v>
      </c>
      <c r="R175">
        <f>+AVERAGE(O175,H175)</f>
        <v>0.32366550049999998</v>
      </c>
      <c r="S175">
        <f>+AVERAGE(E175,L175)</f>
        <v>0.12190055950000001</v>
      </c>
      <c r="T175">
        <f>+AVERAGE(G175,N175)</f>
        <v>-0.73697720700000002</v>
      </c>
      <c r="U175" s="1">
        <v>3.8499999999999998E-15</v>
      </c>
      <c r="V175" s="1">
        <v>1.0899999999999999E-36</v>
      </c>
      <c r="W175" s="1">
        <v>1.4200000000000001E-17</v>
      </c>
      <c r="X175">
        <v>1</v>
      </c>
    </row>
    <row r="176" spans="1:24" x14ac:dyDescent="0.25">
      <c r="A176" t="s">
        <v>395</v>
      </c>
      <c r="B176" t="s">
        <v>48</v>
      </c>
      <c r="C176" t="s">
        <v>153</v>
      </c>
      <c r="D176">
        <v>-0.76580789500000002</v>
      </c>
      <c r="E176">
        <v>0.111186154</v>
      </c>
      <c r="F176">
        <v>0.55710350143866183</v>
      </c>
      <c r="G176">
        <v>-0.65462174100000003</v>
      </c>
      <c r="H176">
        <v>0.341948796</v>
      </c>
      <c r="I176">
        <f t="shared" si="8"/>
        <v>-9.7518239561338205E-2</v>
      </c>
      <c r="J176">
        <f t="shared" si="9"/>
        <v>0.47563974216319699</v>
      </c>
      <c r="K176">
        <v>-0.95194763900000001</v>
      </c>
      <c r="L176">
        <v>0.31051475699999997</v>
      </c>
      <c r="M176">
        <v>1.025118027290626</v>
      </c>
      <c r="N176">
        <v>-0.64143288300000001</v>
      </c>
      <c r="O176">
        <v>0.34492270600000002</v>
      </c>
      <c r="P176">
        <f t="shared" si="10"/>
        <v>0.38368514529062592</v>
      </c>
      <c r="Q176">
        <f t="shared" si="11"/>
        <v>0.59476160679788015</v>
      </c>
      <c r="R176">
        <f>+AVERAGE(O176,H176)</f>
        <v>0.34343575100000001</v>
      </c>
      <c r="S176">
        <f>+AVERAGE(E176,L176)</f>
        <v>0.21085045549999998</v>
      </c>
      <c r="T176">
        <f>+AVERAGE(G176,N176)</f>
        <v>-0.64802731199999997</v>
      </c>
      <c r="U176" s="1">
        <v>2E-14</v>
      </c>
      <c r="V176" s="1">
        <v>2.4500000000000002E-35</v>
      </c>
      <c r="W176" s="1">
        <v>1.3600000000000001E-12</v>
      </c>
      <c r="X176">
        <v>1</v>
      </c>
    </row>
    <row r="177" spans="1:24" x14ac:dyDescent="0.25">
      <c r="A177" t="s">
        <v>395</v>
      </c>
      <c r="B177" t="s">
        <v>48</v>
      </c>
      <c r="C177" t="s">
        <v>88</v>
      </c>
      <c r="D177">
        <v>-0.76580789500000002</v>
      </c>
      <c r="E177">
        <v>-0.25486184499999998</v>
      </c>
      <c r="F177">
        <v>0.55710350143866183</v>
      </c>
      <c r="G177">
        <v>-1.02066974</v>
      </c>
      <c r="H177">
        <v>0.26489696400000001</v>
      </c>
      <c r="I177">
        <f t="shared" si="8"/>
        <v>-0.46356623856133816</v>
      </c>
      <c r="J177">
        <f t="shared" si="9"/>
        <v>0.38614015467776336</v>
      </c>
      <c r="K177">
        <v>-0.95194763900000001</v>
      </c>
      <c r="L177">
        <v>-3.3904524999999998E-2</v>
      </c>
      <c r="M177">
        <v>1.025118027290626</v>
      </c>
      <c r="N177">
        <v>-0.98585216399999998</v>
      </c>
      <c r="O177">
        <v>0.27173213099999999</v>
      </c>
      <c r="P177">
        <f t="shared" si="10"/>
        <v>3.926586329062598E-2</v>
      </c>
      <c r="Q177">
        <f t="shared" si="11"/>
        <v>0.50981520475827702</v>
      </c>
      <c r="R177">
        <f>+AVERAGE(O177,H177)</f>
        <v>0.2683145475</v>
      </c>
      <c r="S177">
        <f>+AVERAGE(E177,L177)</f>
        <v>-0.144383185</v>
      </c>
      <c r="T177">
        <f>+AVERAGE(G177,N177)</f>
        <v>-1.003260952</v>
      </c>
      <c r="U177" s="1">
        <v>1.2099999999999999E-16</v>
      </c>
      <c r="V177" s="1">
        <v>7.3199999999999999E-41</v>
      </c>
      <c r="W177" s="1">
        <v>4.96E-19</v>
      </c>
      <c r="X177">
        <v>1</v>
      </c>
    </row>
    <row r="178" spans="1:24" x14ac:dyDescent="0.25">
      <c r="A178" t="s">
        <v>395</v>
      </c>
      <c r="B178" t="s">
        <v>38</v>
      </c>
      <c r="C178" t="s">
        <v>186</v>
      </c>
      <c r="D178">
        <v>-0.76580789500000002</v>
      </c>
      <c r="E178">
        <v>-5.4548481000000003E-2</v>
      </c>
      <c r="F178">
        <v>-6.8234224002180349E-2</v>
      </c>
      <c r="G178">
        <v>-0.820356376</v>
      </c>
      <c r="H178">
        <v>0.30568801600000001</v>
      </c>
      <c r="I178">
        <f t="shared" si="8"/>
        <v>-0.88859060000218038</v>
      </c>
      <c r="J178">
        <f t="shared" si="9"/>
        <v>0.29140076372391577</v>
      </c>
      <c r="K178">
        <v>-0.95194763900000001</v>
      </c>
      <c r="L178">
        <v>-0.73194795400000001</v>
      </c>
      <c r="M178">
        <v>0.23599397861893998</v>
      </c>
      <c r="N178">
        <v>-1.6838955929999999</v>
      </c>
      <c r="O178">
        <v>0.156580317</v>
      </c>
      <c r="P178">
        <f t="shared" si="10"/>
        <v>-1.4479016143810599</v>
      </c>
      <c r="Q178">
        <f t="shared" si="11"/>
        <v>0.19032471969112688</v>
      </c>
      <c r="R178">
        <f>+AVERAGE(O178,H178)</f>
        <v>0.23113416650000002</v>
      </c>
      <c r="S178">
        <f>+AVERAGE(E178,L178)</f>
        <v>-0.3932482175</v>
      </c>
      <c r="T178">
        <f>+AVERAGE(G178,N178)</f>
        <v>-1.2521259844999999</v>
      </c>
      <c r="U178" s="1">
        <v>9.3600000000000005E-13</v>
      </c>
      <c r="V178" s="1">
        <v>1.95E-18</v>
      </c>
      <c r="W178" s="1">
        <v>9.6399999999999999E-17</v>
      </c>
      <c r="X178">
        <v>1</v>
      </c>
    </row>
    <row r="179" spans="1:24" x14ac:dyDescent="0.25">
      <c r="A179" t="s">
        <v>395</v>
      </c>
      <c r="B179" t="s">
        <v>89</v>
      </c>
      <c r="C179" t="s">
        <v>205</v>
      </c>
      <c r="D179">
        <v>-0.76580789500000002</v>
      </c>
      <c r="E179">
        <v>2.7429272000000001E-2</v>
      </c>
      <c r="F179">
        <v>0.30158677788175303</v>
      </c>
      <c r="G179">
        <v>-0.73837862300000001</v>
      </c>
      <c r="H179">
        <v>0.323358796</v>
      </c>
      <c r="I179">
        <f t="shared" si="8"/>
        <v>-0.43679184511824698</v>
      </c>
      <c r="J179">
        <f t="shared" si="9"/>
        <v>0.39250567327660874</v>
      </c>
      <c r="K179">
        <v>-0.95194763900000001</v>
      </c>
      <c r="L179">
        <v>0.227288304</v>
      </c>
      <c r="M179">
        <v>0.31251975382699121</v>
      </c>
      <c r="N179">
        <v>-0.72465933500000002</v>
      </c>
      <c r="O179">
        <v>0.32636779199999999</v>
      </c>
      <c r="P179">
        <f t="shared" si="10"/>
        <v>-0.41213958117300881</v>
      </c>
      <c r="Q179">
        <f t="shared" si="11"/>
        <v>0.39839920085628844</v>
      </c>
      <c r="R179">
        <f>+AVERAGE(O179,H179)</f>
        <v>0.32486329400000002</v>
      </c>
      <c r="S179">
        <f>+AVERAGE(E179,L179)</f>
        <v>0.127358788</v>
      </c>
      <c r="T179">
        <f>+AVERAGE(G179,N179)</f>
        <v>-0.73151897900000007</v>
      </c>
      <c r="U179" s="1">
        <v>2.7599999999999998E-10</v>
      </c>
      <c r="V179" s="1">
        <v>1.62E-31</v>
      </c>
      <c r="W179" s="1">
        <v>8.4899999999999997E-14</v>
      </c>
      <c r="X179">
        <v>1</v>
      </c>
    </row>
    <row r="180" spans="1:24" x14ac:dyDescent="0.25">
      <c r="A180" t="s">
        <v>395</v>
      </c>
      <c r="B180" t="s">
        <v>81</v>
      </c>
      <c r="C180" t="s">
        <v>82</v>
      </c>
      <c r="D180">
        <v>-0.76580789500000002</v>
      </c>
      <c r="E180">
        <v>-9.4794138E-2</v>
      </c>
      <c r="F180">
        <v>1.8542134737425525E-2</v>
      </c>
      <c r="G180">
        <v>-0.86060203300000004</v>
      </c>
      <c r="H180">
        <v>0.29721357900000001</v>
      </c>
      <c r="I180">
        <f t="shared" si="8"/>
        <v>-0.84205989826257455</v>
      </c>
      <c r="J180">
        <f t="shared" si="9"/>
        <v>0.30110112305678943</v>
      </c>
      <c r="K180">
        <v>-0.95194763900000001</v>
      </c>
      <c r="L180">
        <v>-8.6471322000000003E-2</v>
      </c>
      <c r="M180">
        <v>8.7894785803348752E-2</v>
      </c>
      <c r="N180">
        <v>-1.0384189610000001</v>
      </c>
      <c r="O180">
        <v>0.26145517200000001</v>
      </c>
      <c r="P180">
        <f t="shared" si="10"/>
        <v>-0.95052417519665133</v>
      </c>
      <c r="Q180">
        <f t="shared" si="11"/>
        <v>0.27877941832979997</v>
      </c>
      <c r="R180">
        <f>+AVERAGE(O180,H180)</f>
        <v>0.27933437550000001</v>
      </c>
      <c r="S180">
        <f>+AVERAGE(E180,L180)</f>
        <v>-9.0632729999999995E-2</v>
      </c>
      <c r="T180">
        <f>+AVERAGE(G180,N180)</f>
        <v>-0.94951049700000012</v>
      </c>
      <c r="U180" s="1">
        <v>4.1699999999999998E-17</v>
      </c>
      <c r="V180" s="1">
        <v>1.21E-39</v>
      </c>
      <c r="W180" s="1">
        <v>1.3100000000000001E-14</v>
      </c>
      <c r="X180">
        <v>1</v>
      </c>
    </row>
    <row r="181" spans="1:24" x14ac:dyDescent="0.25">
      <c r="A181" t="s">
        <v>395</v>
      </c>
      <c r="B181" t="s">
        <v>35</v>
      </c>
      <c r="C181" t="s">
        <v>90</v>
      </c>
      <c r="D181">
        <v>-0.76580789500000002</v>
      </c>
      <c r="E181">
        <v>0.25604908999999998</v>
      </c>
      <c r="F181">
        <v>0</v>
      </c>
      <c r="G181">
        <v>-0.50975880500000004</v>
      </c>
      <c r="H181">
        <v>0.37525006900000002</v>
      </c>
      <c r="I181">
        <f t="shared" si="8"/>
        <v>-0.50975880500000004</v>
      </c>
      <c r="J181">
        <f t="shared" si="9"/>
        <v>0.37525006897184604</v>
      </c>
      <c r="K181">
        <v>-0.95194763900000001</v>
      </c>
      <c r="L181">
        <v>0.37125593200000001</v>
      </c>
      <c r="M181">
        <v>0</v>
      </c>
      <c r="N181">
        <v>-0.58069170699999995</v>
      </c>
      <c r="O181">
        <v>0.35877344700000002</v>
      </c>
      <c r="P181">
        <f t="shared" si="10"/>
        <v>-0.58069170699999995</v>
      </c>
      <c r="Q181">
        <f t="shared" si="11"/>
        <v>0.35877344742897249</v>
      </c>
      <c r="R181">
        <f>+AVERAGE(O181,H181)</f>
        <v>0.36701175800000002</v>
      </c>
      <c r="S181">
        <f>+AVERAGE(E181,L181)</f>
        <v>0.31365251100000002</v>
      </c>
      <c r="T181">
        <f>+AVERAGE(G181,N181)</f>
        <v>-0.54522525599999994</v>
      </c>
      <c r="U181" s="1">
        <v>1.2399999999999999E-16</v>
      </c>
      <c r="V181" s="1">
        <v>1.2E-42</v>
      </c>
      <c r="W181" s="1">
        <v>5.3200000000000004E-19</v>
      </c>
      <c r="X181">
        <v>1</v>
      </c>
    </row>
    <row r="182" spans="1:24" x14ac:dyDescent="0.25">
      <c r="A182" t="s">
        <v>395</v>
      </c>
      <c r="B182" t="s">
        <v>12</v>
      </c>
      <c r="C182" t="s">
        <v>135</v>
      </c>
      <c r="D182">
        <v>-0.76580789500000002</v>
      </c>
      <c r="E182">
        <v>0.339669681</v>
      </c>
      <c r="F182">
        <v>0.26350859048821873</v>
      </c>
      <c r="G182">
        <v>-0.42613821400000002</v>
      </c>
      <c r="H182">
        <v>0.395048866</v>
      </c>
      <c r="I182">
        <f t="shared" si="8"/>
        <v>-0.16262962351178128</v>
      </c>
      <c r="J182">
        <f t="shared" si="9"/>
        <v>0.45943196800889002</v>
      </c>
      <c r="K182">
        <v>-0.95194763900000001</v>
      </c>
      <c r="L182">
        <v>0.53130175300000004</v>
      </c>
      <c r="M182">
        <v>-1.2208396677130032E-2</v>
      </c>
      <c r="N182">
        <v>-0.420645887</v>
      </c>
      <c r="O182">
        <v>0.39636220500000002</v>
      </c>
      <c r="P182">
        <f t="shared" si="10"/>
        <v>-0.43285428267713</v>
      </c>
      <c r="Q182">
        <f t="shared" si="11"/>
        <v>0.39344496158852216</v>
      </c>
      <c r="R182">
        <f>+AVERAGE(O182,H182)</f>
        <v>0.39570553549999998</v>
      </c>
      <c r="S182">
        <f>+AVERAGE(E182,L182)</f>
        <v>0.43548571700000005</v>
      </c>
      <c r="T182">
        <f>+AVERAGE(G182,N182)</f>
        <v>-0.42339205050000001</v>
      </c>
      <c r="U182" s="1">
        <v>4.3500000000000001E-15</v>
      </c>
      <c r="V182" s="1">
        <v>3.7299999999999998E-36</v>
      </c>
      <c r="W182" s="1">
        <v>5.7700000000000006E-17</v>
      </c>
      <c r="X182">
        <v>1</v>
      </c>
    </row>
    <row r="183" spans="1:24" x14ac:dyDescent="0.25">
      <c r="A183" t="s">
        <v>395</v>
      </c>
      <c r="B183" t="s">
        <v>29</v>
      </c>
      <c r="C183" t="s">
        <v>215</v>
      </c>
      <c r="D183">
        <v>-0.76580789500000002</v>
      </c>
      <c r="E183">
        <v>-0.495916896</v>
      </c>
      <c r="F183">
        <v>0.20639898313457225</v>
      </c>
      <c r="G183">
        <v>-1.2617247899999999</v>
      </c>
      <c r="H183">
        <v>0.220677122</v>
      </c>
      <c r="I183">
        <f t="shared" si="8"/>
        <v>-1.0553258078654277</v>
      </c>
      <c r="J183">
        <f t="shared" si="9"/>
        <v>0.258203711688136</v>
      </c>
      <c r="K183">
        <v>-0.95194763900000001</v>
      </c>
      <c r="L183">
        <v>-0.33470298399999998</v>
      </c>
      <c r="M183">
        <v>0.1319356394463834</v>
      </c>
      <c r="N183">
        <v>-1.2866506230000001</v>
      </c>
      <c r="O183">
        <v>0.216420267</v>
      </c>
      <c r="P183">
        <f t="shared" si="10"/>
        <v>-1.1547149835536166</v>
      </c>
      <c r="Q183">
        <f t="shared" si="11"/>
        <v>0.2396289261215829</v>
      </c>
      <c r="R183">
        <f>+AVERAGE(O183,H183)</f>
        <v>0.2185486945</v>
      </c>
      <c r="S183">
        <f>+AVERAGE(E183,L183)</f>
        <v>-0.41530993999999999</v>
      </c>
      <c r="T183">
        <f>+AVERAGE(G183,N183)</f>
        <v>-1.2741877065</v>
      </c>
      <c r="U183">
        <v>9.7244510000000003E-3</v>
      </c>
      <c r="V183" s="1">
        <v>1.21E-25</v>
      </c>
      <c r="W183">
        <v>0.99026648100000003</v>
      </c>
      <c r="X183">
        <v>9.0699999999999996E-6</v>
      </c>
    </row>
    <row r="184" spans="1:24" x14ac:dyDescent="0.25">
      <c r="A184" t="s">
        <v>395</v>
      </c>
      <c r="B184" t="s">
        <v>58</v>
      </c>
      <c r="C184" t="s">
        <v>87</v>
      </c>
      <c r="D184">
        <v>-0.76580789500000002</v>
      </c>
      <c r="E184">
        <v>-4.7352245000000001E-2</v>
      </c>
      <c r="F184">
        <v>6.292627996845801E-2</v>
      </c>
      <c r="G184">
        <v>-0.81316014000000003</v>
      </c>
      <c r="H184">
        <v>0.30721749799999998</v>
      </c>
      <c r="I184">
        <f t="shared" si="8"/>
        <v>-0.75023386003154202</v>
      </c>
      <c r="J184">
        <f t="shared" si="9"/>
        <v>0.32077034602987059</v>
      </c>
      <c r="K184">
        <v>-0.95194763900000001</v>
      </c>
      <c r="L184">
        <v>0.14831862500000001</v>
      </c>
      <c r="M184">
        <v>0.54289824242765494</v>
      </c>
      <c r="N184">
        <v>-0.80362901399999997</v>
      </c>
      <c r="O184">
        <v>0.30924977300000001</v>
      </c>
      <c r="P184">
        <f t="shared" si="10"/>
        <v>-0.26073077157234503</v>
      </c>
      <c r="Q184">
        <f t="shared" si="11"/>
        <v>0.43518407685082394</v>
      </c>
      <c r="R184">
        <f>+AVERAGE(O184,H184)</f>
        <v>0.30823363549999999</v>
      </c>
      <c r="S184">
        <f>+AVERAGE(E184,L184)</f>
        <v>5.0483190000000004E-2</v>
      </c>
      <c r="T184">
        <f>+AVERAGE(G184,N184)</f>
        <v>-0.80839457700000006</v>
      </c>
      <c r="U184" s="1">
        <v>1.0200000000000001E-16</v>
      </c>
      <c r="V184" s="1">
        <v>2.31E-36</v>
      </c>
      <c r="W184" s="1">
        <v>2.8600000000000001E-19</v>
      </c>
      <c r="X184">
        <v>1</v>
      </c>
    </row>
    <row r="185" spans="1:24" x14ac:dyDescent="0.25">
      <c r="A185" t="s">
        <v>395</v>
      </c>
      <c r="B185" t="s">
        <v>12</v>
      </c>
      <c r="C185" t="s">
        <v>230</v>
      </c>
      <c r="D185">
        <v>-0.76580789500000002</v>
      </c>
      <c r="E185">
        <v>0.15195254</v>
      </c>
      <c r="F185">
        <v>0.26350859048821873</v>
      </c>
      <c r="G185">
        <v>-0.61385535499999999</v>
      </c>
      <c r="H185">
        <v>0.35118024199999998</v>
      </c>
      <c r="I185">
        <f t="shared" si="8"/>
        <v>-0.35034676451178126</v>
      </c>
      <c r="J185">
        <f t="shared" si="9"/>
        <v>0.41329833411834715</v>
      </c>
      <c r="K185">
        <v>-0.95194763900000001</v>
      </c>
      <c r="L185">
        <v>0.35094787999999999</v>
      </c>
      <c r="M185">
        <v>-1.2208396677130032E-2</v>
      </c>
      <c r="N185">
        <v>-0.60099975999999999</v>
      </c>
      <c r="O185">
        <v>0.35411499800000001</v>
      </c>
      <c r="P185">
        <f t="shared" si="10"/>
        <v>-0.61320815567713005</v>
      </c>
      <c r="Q185">
        <f t="shared" si="11"/>
        <v>0.3513277220364423</v>
      </c>
      <c r="R185">
        <f>+AVERAGE(O185,H185)</f>
        <v>0.35264761999999999</v>
      </c>
      <c r="S185">
        <f>+AVERAGE(E185,L185)</f>
        <v>0.25145021000000001</v>
      </c>
      <c r="T185">
        <f>+AVERAGE(G185,N185)</f>
        <v>-0.60742755749999999</v>
      </c>
      <c r="U185">
        <v>0.99033972100000001</v>
      </c>
      <c r="V185" s="1">
        <v>6.3099999999999999E-21</v>
      </c>
      <c r="W185">
        <v>9.6575930000000008E-3</v>
      </c>
      <c r="X185">
        <v>2.6900000000000001E-6</v>
      </c>
    </row>
    <row r="186" spans="1:24" x14ac:dyDescent="0.25">
      <c r="A186" t="s">
        <v>395</v>
      </c>
      <c r="B186" t="s">
        <v>58</v>
      </c>
      <c r="C186" t="s">
        <v>123</v>
      </c>
      <c r="D186">
        <v>-0.76580789500000002</v>
      </c>
      <c r="E186">
        <v>-0.20631037899999999</v>
      </c>
      <c r="F186">
        <v>6.292627996845801E-2</v>
      </c>
      <c r="G186">
        <v>-0.97211827399999995</v>
      </c>
      <c r="H186">
        <v>0.27445848699999997</v>
      </c>
      <c r="I186">
        <f t="shared" si="8"/>
        <v>-0.90919199403154205</v>
      </c>
      <c r="J186">
        <f t="shared" si="9"/>
        <v>0.28716520871335427</v>
      </c>
      <c r="K186">
        <v>-0.95194763900000001</v>
      </c>
      <c r="L186">
        <v>0.17705942599999999</v>
      </c>
      <c r="M186">
        <v>0.54289824242765494</v>
      </c>
      <c r="N186">
        <v>-0.77488821299999999</v>
      </c>
      <c r="O186">
        <v>0.31542263700000001</v>
      </c>
      <c r="P186">
        <f t="shared" si="10"/>
        <v>-0.23198997057234505</v>
      </c>
      <c r="Q186">
        <f t="shared" si="11"/>
        <v>0.44226123061023132</v>
      </c>
      <c r="R186">
        <f>+AVERAGE(O186,H186)</f>
        <v>0.29494056199999996</v>
      </c>
      <c r="S186">
        <f>+AVERAGE(E186,L186)</f>
        <v>-1.4625476499999998E-2</v>
      </c>
      <c r="T186">
        <f>+AVERAGE(G186,N186)</f>
        <v>-0.87350324349999997</v>
      </c>
      <c r="U186" s="1">
        <v>1.59E-15</v>
      </c>
      <c r="V186" s="1">
        <v>3.52E-36</v>
      </c>
      <c r="W186" s="1">
        <v>1.74E-18</v>
      </c>
      <c r="X186">
        <v>1</v>
      </c>
    </row>
    <row r="187" spans="1:24" x14ac:dyDescent="0.25">
      <c r="A187" t="s">
        <v>395</v>
      </c>
      <c r="B187" t="s">
        <v>58</v>
      </c>
      <c r="C187" t="s">
        <v>104</v>
      </c>
      <c r="D187">
        <v>-0.76580789500000002</v>
      </c>
      <c r="E187">
        <v>-0.273534363</v>
      </c>
      <c r="F187">
        <v>6.292627996845801E-2</v>
      </c>
      <c r="G187">
        <v>-1.039342258</v>
      </c>
      <c r="H187">
        <v>0.26127692600000002</v>
      </c>
      <c r="I187">
        <f t="shared" si="8"/>
        <v>-0.97641597803154201</v>
      </c>
      <c r="J187">
        <f t="shared" si="9"/>
        <v>0.2736035105131458</v>
      </c>
      <c r="K187">
        <v>-0.95194763900000001</v>
      </c>
      <c r="L187">
        <v>-0.30011369700000001</v>
      </c>
      <c r="M187">
        <v>0.54289824242765494</v>
      </c>
      <c r="N187">
        <v>-1.2520613359999999</v>
      </c>
      <c r="O187">
        <v>0.22234351599999999</v>
      </c>
      <c r="P187">
        <f t="shared" si="10"/>
        <v>-0.70916309357234519</v>
      </c>
      <c r="Q187">
        <f t="shared" si="11"/>
        <v>0.32978379228349802</v>
      </c>
      <c r="R187">
        <f>+AVERAGE(O187,H187)</f>
        <v>0.24181022099999999</v>
      </c>
      <c r="S187">
        <f>+AVERAGE(E187,L187)</f>
        <v>-0.28682403000000001</v>
      </c>
      <c r="T187">
        <f>+AVERAGE(G187,N187)</f>
        <v>-1.1457017970000001</v>
      </c>
      <c r="U187" s="1">
        <v>4.31E-16</v>
      </c>
      <c r="V187" s="1">
        <v>2.77E-36</v>
      </c>
      <c r="W187" s="1">
        <v>9.1399999999999991E-19</v>
      </c>
      <c r="X187">
        <v>1</v>
      </c>
    </row>
    <row r="188" spans="1:24" x14ac:dyDescent="0.25">
      <c r="A188" t="s">
        <v>395</v>
      </c>
      <c r="B188" t="s">
        <v>42</v>
      </c>
      <c r="C188" t="s">
        <v>74</v>
      </c>
      <c r="D188">
        <v>-0.76580789500000002</v>
      </c>
      <c r="E188">
        <v>0.14836291400000001</v>
      </c>
      <c r="F188">
        <v>-4.9441097480157715E-2</v>
      </c>
      <c r="G188">
        <v>-0.61744498000000003</v>
      </c>
      <c r="H188">
        <v>0.35036277399999999</v>
      </c>
      <c r="I188">
        <f t="shared" si="8"/>
        <v>-0.66688607848015768</v>
      </c>
      <c r="J188">
        <f t="shared" si="9"/>
        <v>0.33919445018966077</v>
      </c>
      <c r="K188">
        <v>-0.95194763900000001</v>
      </c>
      <c r="L188">
        <v>0.18969113100000001</v>
      </c>
      <c r="M188">
        <v>0.143403965745907</v>
      </c>
      <c r="N188">
        <v>-0.76225650899999997</v>
      </c>
      <c r="O188">
        <v>0.31815655399999998</v>
      </c>
      <c r="P188">
        <f t="shared" si="10"/>
        <v>-0.61885254225409303</v>
      </c>
      <c r="Q188">
        <f t="shared" si="11"/>
        <v>0.35004246773857972</v>
      </c>
      <c r="R188">
        <f>+AVERAGE(O188,H188)</f>
        <v>0.33425966399999996</v>
      </c>
      <c r="S188">
        <f>+AVERAGE(E188,L188)</f>
        <v>0.16902702250000001</v>
      </c>
      <c r="T188">
        <f>+AVERAGE(G188,N188)</f>
        <v>-0.68985074449999995</v>
      </c>
      <c r="U188" s="1">
        <v>3.33E-17</v>
      </c>
      <c r="V188" s="1">
        <v>3.3200000000000002E-40</v>
      </c>
      <c r="W188" s="1">
        <v>3.08E-15</v>
      </c>
      <c r="X188">
        <v>1</v>
      </c>
    </row>
    <row r="189" spans="1:24" x14ac:dyDescent="0.25">
      <c r="A189" t="s">
        <v>395</v>
      </c>
      <c r="B189" t="s">
        <v>38</v>
      </c>
      <c r="C189" t="s">
        <v>39</v>
      </c>
      <c r="D189">
        <v>-0.76580789500000002</v>
      </c>
      <c r="E189">
        <v>3.0525959999999999E-3</v>
      </c>
      <c r="F189">
        <v>-6.8234224002180349E-2</v>
      </c>
      <c r="G189">
        <v>-0.76275529900000005</v>
      </c>
      <c r="H189">
        <v>0.31804835999999997</v>
      </c>
      <c r="I189">
        <f t="shared" si="8"/>
        <v>-0.83098952300218043</v>
      </c>
      <c r="J189">
        <f t="shared" si="9"/>
        <v>0.30343588140269873</v>
      </c>
      <c r="K189">
        <v>-0.95194763900000001</v>
      </c>
      <c r="L189">
        <v>-0.45557595499999998</v>
      </c>
      <c r="M189">
        <v>0.23599397861893998</v>
      </c>
      <c r="N189">
        <v>-1.4075235939999999</v>
      </c>
      <c r="O189">
        <v>0.196624944</v>
      </c>
      <c r="P189">
        <f t="shared" si="10"/>
        <v>-1.1715296153810599</v>
      </c>
      <c r="Q189">
        <f t="shared" si="11"/>
        <v>0.23657861040007541</v>
      </c>
      <c r="R189">
        <f>+AVERAGE(O189,H189)</f>
        <v>0.257336652</v>
      </c>
      <c r="S189">
        <f>+AVERAGE(E189,L189)</f>
        <v>-0.22626167949999998</v>
      </c>
      <c r="T189">
        <f>+AVERAGE(G189,N189)</f>
        <v>-1.0851394464999999</v>
      </c>
      <c r="U189" s="1">
        <v>7.9300000000000005E-31</v>
      </c>
      <c r="V189">
        <v>1</v>
      </c>
      <c r="W189" s="1">
        <v>3.6400000000000002E-34</v>
      </c>
      <c r="X189" s="1">
        <v>7.11E-49</v>
      </c>
    </row>
    <row r="190" spans="1:24" x14ac:dyDescent="0.25">
      <c r="A190" t="s">
        <v>395</v>
      </c>
      <c r="B190" t="s">
        <v>58</v>
      </c>
      <c r="C190" t="s">
        <v>59</v>
      </c>
      <c r="D190">
        <v>-0.76580789500000002</v>
      </c>
      <c r="E190">
        <v>7.3523195E-2</v>
      </c>
      <c r="F190">
        <v>6.292627996845801E-2</v>
      </c>
      <c r="G190">
        <v>-0.69228469999999998</v>
      </c>
      <c r="H190">
        <v>0.33352502299999998</v>
      </c>
      <c r="I190">
        <f t="shared" si="8"/>
        <v>-0.62935842003154197</v>
      </c>
      <c r="J190">
        <f t="shared" si="9"/>
        <v>0.34765602834617298</v>
      </c>
      <c r="K190">
        <v>-0.95194763900000001</v>
      </c>
      <c r="L190">
        <v>-0.39589008399999998</v>
      </c>
      <c r="M190">
        <v>0.54289824242765494</v>
      </c>
      <c r="N190">
        <v>-1.347837723</v>
      </c>
      <c r="O190">
        <v>0.20622410199999999</v>
      </c>
      <c r="P190">
        <f t="shared" si="10"/>
        <v>-0.8049394805723451</v>
      </c>
      <c r="Q190">
        <f t="shared" si="11"/>
        <v>0.30896990878684805</v>
      </c>
      <c r="R190">
        <f>+AVERAGE(O190,H190)</f>
        <v>0.26987456249999997</v>
      </c>
      <c r="S190">
        <f>+AVERAGE(E190,L190)</f>
        <v>-0.16118344449999999</v>
      </c>
      <c r="T190">
        <f>+AVERAGE(G190,N190)</f>
        <v>-1.0200612115000001</v>
      </c>
      <c r="U190" s="1">
        <v>2.9999999999999998E-18</v>
      </c>
      <c r="V190" s="1">
        <v>1.33E-40</v>
      </c>
      <c r="W190" s="1">
        <v>2.2799999999999999E-21</v>
      </c>
      <c r="X190">
        <v>1</v>
      </c>
    </row>
    <row r="191" spans="1:24" x14ac:dyDescent="0.25">
      <c r="A191" t="s">
        <v>395</v>
      </c>
      <c r="B191" t="s">
        <v>81</v>
      </c>
      <c r="C191" t="s">
        <v>232</v>
      </c>
      <c r="D191">
        <v>-0.76580789500000002</v>
      </c>
      <c r="E191">
        <v>0.341141519</v>
      </c>
      <c r="F191">
        <v>1.8542134737425525E-2</v>
      </c>
      <c r="G191">
        <v>-0.42466637600000001</v>
      </c>
      <c r="H191">
        <v>0.39540066800000001</v>
      </c>
      <c r="I191">
        <f t="shared" si="8"/>
        <v>-0.40612424126257451</v>
      </c>
      <c r="J191">
        <f t="shared" si="9"/>
        <v>0.39984181847493727</v>
      </c>
      <c r="K191">
        <v>-0.95194763900000001</v>
      </c>
      <c r="L191">
        <v>0.70682336599999995</v>
      </c>
      <c r="M191">
        <v>8.7894785803348752E-2</v>
      </c>
      <c r="N191">
        <v>-0.245124273</v>
      </c>
      <c r="O191">
        <v>0.43902394300000003</v>
      </c>
      <c r="P191">
        <f t="shared" si="10"/>
        <v>-0.15722948719665131</v>
      </c>
      <c r="Q191">
        <f t="shared" si="11"/>
        <v>0.46077340534385902</v>
      </c>
      <c r="R191">
        <f>+AVERAGE(O191,H191)</f>
        <v>0.41721230549999999</v>
      </c>
      <c r="S191">
        <f>+AVERAGE(E191,L191)</f>
        <v>0.52398244249999992</v>
      </c>
      <c r="T191">
        <f>+AVERAGE(G191,N191)</f>
        <v>-0.33489532450000004</v>
      </c>
      <c r="U191">
        <v>0.99219067599999999</v>
      </c>
      <c r="V191" s="1">
        <v>2.34E-23</v>
      </c>
      <c r="W191">
        <v>2.5072000000000001E-4</v>
      </c>
      <c r="X191">
        <v>7.558604E-3</v>
      </c>
    </row>
    <row r="192" spans="1:24" x14ac:dyDescent="0.25">
      <c r="A192" t="s">
        <v>395</v>
      </c>
      <c r="B192" t="s">
        <v>35</v>
      </c>
      <c r="C192" t="s">
        <v>221</v>
      </c>
      <c r="D192">
        <v>-0.76580789500000002</v>
      </c>
      <c r="E192">
        <v>0.22428405000000001</v>
      </c>
      <c r="F192">
        <v>0</v>
      </c>
      <c r="G192">
        <v>-0.54152384399999998</v>
      </c>
      <c r="H192">
        <v>0.36783316799999999</v>
      </c>
      <c r="I192">
        <f t="shared" si="8"/>
        <v>-0.54152384499999995</v>
      </c>
      <c r="J192">
        <f t="shared" si="9"/>
        <v>0.36783316833614016</v>
      </c>
      <c r="K192">
        <v>-0.95194763900000001</v>
      </c>
      <c r="L192">
        <v>0.46164685999999999</v>
      </c>
      <c r="M192">
        <v>0</v>
      </c>
      <c r="N192">
        <v>-0.49030077999999999</v>
      </c>
      <c r="O192">
        <v>0.37982271400000001</v>
      </c>
      <c r="P192">
        <f t="shared" si="10"/>
        <v>-0.49030077900000002</v>
      </c>
      <c r="Q192">
        <f t="shared" si="11"/>
        <v>0.37982271437108833</v>
      </c>
      <c r="R192">
        <f>+AVERAGE(O192,H192)</f>
        <v>0.373827941</v>
      </c>
      <c r="S192">
        <f>+AVERAGE(E192,L192)</f>
        <v>0.34296545499999997</v>
      </c>
      <c r="T192">
        <f>+AVERAGE(G192,N192)</f>
        <v>-0.51591231199999998</v>
      </c>
      <c r="U192">
        <v>0.647915197</v>
      </c>
      <c r="V192" s="1">
        <v>2.28E-23</v>
      </c>
      <c r="W192">
        <v>0.35208121100000001</v>
      </c>
      <c r="X192">
        <v>3.5899999999999999E-6</v>
      </c>
    </row>
    <row r="193" spans="1:24" x14ac:dyDescent="0.25">
      <c r="A193" t="s">
        <v>395</v>
      </c>
      <c r="B193" t="s">
        <v>29</v>
      </c>
      <c r="C193" t="s">
        <v>249</v>
      </c>
      <c r="D193">
        <v>-0.76580789500000002</v>
      </c>
      <c r="E193">
        <v>0.105064033</v>
      </c>
      <c r="F193">
        <v>0.20639898313457225</v>
      </c>
      <c r="G193">
        <v>-0.66074386200000002</v>
      </c>
      <c r="H193">
        <v>0.34057253300000001</v>
      </c>
      <c r="I193">
        <f t="shared" si="8"/>
        <v>-0.45434487886542774</v>
      </c>
      <c r="J193">
        <f t="shared" si="9"/>
        <v>0.38832823014967693</v>
      </c>
      <c r="K193">
        <v>-0.95194763900000001</v>
      </c>
      <c r="L193">
        <v>0.40942667100000002</v>
      </c>
      <c r="M193">
        <v>0.1319356394463834</v>
      </c>
      <c r="N193">
        <v>-0.54252096900000002</v>
      </c>
      <c r="O193">
        <v>0.367601336</v>
      </c>
      <c r="P193">
        <f t="shared" si="10"/>
        <v>-0.41058532855361662</v>
      </c>
      <c r="Q193">
        <f t="shared" si="11"/>
        <v>0.39877177865281715</v>
      </c>
      <c r="R193">
        <f>+AVERAGE(O193,H193)</f>
        <v>0.35408693450000001</v>
      </c>
      <c r="S193">
        <f>+AVERAGE(E193,L193)</f>
        <v>0.25724535199999998</v>
      </c>
      <c r="T193">
        <f>+AVERAGE(G193,N193)</f>
        <v>-0.60163241550000002</v>
      </c>
      <c r="U193">
        <v>0.99966034999999998</v>
      </c>
      <c r="V193" s="1">
        <v>4.0399999999999997E-11</v>
      </c>
      <c r="W193">
        <v>3.3950199999999999E-4</v>
      </c>
      <c r="X193">
        <v>1.48E-7</v>
      </c>
    </row>
    <row r="194" spans="1:24" x14ac:dyDescent="0.25">
      <c r="A194" t="s">
        <v>395</v>
      </c>
      <c r="B194" t="s">
        <v>54</v>
      </c>
      <c r="C194" t="s">
        <v>101</v>
      </c>
      <c r="D194">
        <v>-0.76580789500000002</v>
      </c>
      <c r="E194">
        <v>-5.6032516999999997E-2</v>
      </c>
      <c r="F194">
        <v>0.10108352689561931</v>
      </c>
      <c r="G194">
        <v>-0.82184041200000002</v>
      </c>
      <c r="H194">
        <v>0.30537313100000002</v>
      </c>
      <c r="I194">
        <f t="shared" si="8"/>
        <v>-0.72075688510438074</v>
      </c>
      <c r="J194">
        <f t="shared" si="9"/>
        <v>0.32722633345172764</v>
      </c>
      <c r="K194">
        <v>-0.95194763900000001</v>
      </c>
      <c r="L194">
        <v>1.4090197E-2</v>
      </c>
      <c r="M194">
        <v>0.31611013044056913</v>
      </c>
      <c r="N194">
        <v>-0.93785744199999999</v>
      </c>
      <c r="O194">
        <v>0.28133333199999999</v>
      </c>
      <c r="P194">
        <f t="shared" si="10"/>
        <v>-0.62174731155943086</v>
      </c>
      <c r="Q194">
        <f t="shared" si="11"/>
        <v>0.34938415707394427</v>
      </c>
      <c r="R194">
        <f>+AVERAGE(O194,H194)</f>
        <v>0.29335323150000003</v>
      </c>
      <c r="S194">
        <f>+AVERAGE(E194,L194)</f>
        <v>-2.0971159999999999E-2</v>
      </c>
      <c r="T194">
        <f>+AVERAGE(G194,N194)</f>
        <v>-0.87984892700000006</v>
      </c>
      <c r="U194" s="1">
        <v>3.2900000000000002E-16</v>
      </c>
      <c r="V194" s="1">
        <v>4.7499999999999996E-37</v>
      </c>
      <c r="W194" s="1">
        <v>3.2399999999999998E-20</v>
      </c>
      <c r="X194">
        <v>1</v>
      </c>
    </row>
    <row r="195" spans="1:24" x14ac:dyDescent="0.25">
      <c r="A195" t="s">
        <v>395</v>
      </c>
      <c r="B195" t="s">
        <v>31</v>
      </c>
      <c r="C195" t="s">
        <v>56</v>
      </c>
      <c r="D195">
        <v>-0.76580789500000002</v>
      </c>
      <c r="E195">
        <v>-0.247548507</v>
      </c>
      <c r="F195">
        <v>-0.40815884462967861</v>
      </c>
      <c r="G195">
        <v>-1.0133564020000001</v>
      </c>
      <c r="H195">
        <v>0.26632351100000001</v>
      </c>
      <c r="I195">
        <f t="shared" ref="I195:I258" si="12">+D195+E195+F195</f>
        <v>-1.4215152466296788</v>
      </c>
      <c r="J195">
        <f t="shared" ref="J195:J258" si="13">1/(1+EXP(-I195))</f>
        <v>0.1944241506207357</v>
      </c>
      <c r="K195">
        <v>-0.95194763900000001</v>
      </c>
      <c r="L195">
        <v>-0.234327809</v>
      </c>
      <c r="M195">
        <v>-0.66911011404127352</v>
      </c>
      <c r="N195">
        <v>-1.186275448</v>
      </c>
      <c r="O195">
        <v>0.233925731</v>
      </c>
      <c r="P195">
        <f t="shared" ref="P195:P258" si="14">+K195+L195+M195</f>
        <v>-1.8553855620412736</v>
      </c>
      <c r="Q195">
        <f t="shared" ref="Q195:Q258" si="15">1/(1+EXP(-P195))</f>
        <v>0.13524180945174025</v>
      </c>
      <c r="R195">
        <f>+AVERAGE(O195,H195)</f>
        <v>0.25012462099999999</v>
      </c>
      <c r="S195">
        <f>+AVERAGE(E195,L195)</f>
        <v>-0.24093815800000001</v>
      </c>
      <c r="T195">
        <f>+AVERAGE(G195,N195)</f>
        <v>-1.0998159250000001</v>
      </c>
      <c r="U195" s="1">
        <v>1.9799999999999999E-18</v>
      </c>
      <c r="V195" s="1">
        <v>6.2000000000000005E-42</v>
      </c>
      <c r="W195" s="1">
        <v>2.2099999999999999E-20</v>
      </c>
      <c r="X195">
        <v>1</v>
      </c>
    </row>
    <row r="196" spans="1:24" x14ac:dyDescent="0.25">
      <c r="A196" t="s">
        <v>395</v>
      </c>
      <c r="B196" t="s">
        <v>48</v>
      </c>
      <c r="C196" t="s">
        <v>225</v>
      </c>
      <c r="D196">
        <v>-0.76580789500000002</v>
      </c>
      <c r="E196">
        <v>0.1430997</v>
      </c>
      <c r="F196">
        <v>0.55710350143866183</v>
      </c>
      <c r="G196">
        <v>-0.62270819499999996</v>
      </c>
      <c r="H196">
        <v>0.34916576599999999</v>
      </c>
      <c r="I196">
        <f t="shared" si="12"/>
        <v>-6.5604693561338134E-2</v>
      </c>
      <c r="J196">
        <f t="shared" si="13"/>
        <v>0.48360470660008203</v>
      </c>
      <c r="K196">
        <v>-0.95194763900000001</v>
      </c>
      <c r="L196">
        <v>5.1346699000000003E-2</v>
      </c>
      <c r="M196">
        <v>1.025118027290626</v>
      </c>
      <c r="N196">
        <v>-0.90060094099999999</v>
      </c>
      <c r="O196">
        <v>0.28892701999999998</v>
      </c>
      <c r="P196">
        <f t="shared" si="14"/>
        <v>0.12451708729062594</v>
      </c>
      <c r="Q196">
        <f t="shared" si="15"/>
        <v>0.53108911375531376</v>
      </c>
      <c r="R196">
        <f>+AVERAGE(O196,H196)</f>
        <v>0.31904639299999998</v>
      </c>
      <c r="S196">
        <f>+AVERAGE(E196,L196)</f>
        <v>9.7223199499999996E-2</v>
      </c>
      <c r="T196">
        <f>+AVERAGE(G196,N196)</f>
        <v>-0.76165456799999998</v>
      </c>
      <c r="U196">
        <v>0.92176499000000001</v>
      </c>
      <c r="V196" s="1">
        <v>3.5999999999999999E-17</v>
      </c>
      <c r="W196">
        <v>2.0004918999999999E-2</v>
      </c>
      <c r="X196">
        <v>5.8230090999999998E-2</v>
      </c>
    </row>
    <row r="197" spans="1:24" x14ac:dyDescent="0.25">
      <c r="A197" t="s">
        <v>395</v>
      </c>
      <c r="B197" t="s">
        <v>58</v>
      </c>
      <c r="C197" t="s">
        <v>91</v>
      </c>
      <c r="D197">
        <v>-0.76580789500000002</v>
      </c>
      <c r="E197">
        <v>-1.5108013999999999E-2</v>
      </c>
      <c r="F197">
        <v>6.292627996845801E-2</v>
      </c>
      <c r="G197">
        <v>-0.78091590899999996</v>
      </c>
      <c r="H197">
        <v>0.31412252000000002</v>
      </c>
      <c r="I197">
        <f t="shared" si="12"/>
        <v>-0.71798962903154195</v>
      </c>
      <c r="J197">
        <f t="shared" si="13"/>
        <v>0.32783583384746506</v>
      </c>
      <c r="K197">
        <v>-0.95194763900000001</v>
      </c>
      <c r="L197">
        <v>-0.26877368299999999</v>
      </c>
      <c r="M197">
        <v>0.54289824242765494</v>
      </c>
      <c r="N197">
        <v>-1.2207213219999999</v>
      </c>
      <c r="O197">
        <v>0.22780953600000001</v>
      </c>
      <c r="P197">
        <f t="shared" si="14"/>
        <v>-0.677823079572345</v>
      </c>
      <c r="Q197">
        <f t="shared" si="15"/>
        <v>0.33674734173478582</v>
      </c>
      <c r="R197">
        <f>+AVERAGE(O197,H197)</f>
        <v>0.27096602800000003</v>
      </c>
      <c r="S197">
        <f>+AVERAGE(E197,L197)</f>
        <v>-0.14194084849999999</v>
      </c>
      <c r="T197">
        <f>+AVERAGE(G197,N197)</f>
        <v>-1.0008186155000001</v>
      </c>
      <c r="U197" s="1">
        <v>1.2500000000000001E-16</v>
      </c>
      <c r="V197" s="1">
        <v>1.08E-38</v>
      </c>
      <c r="W197" s="1">
        <v>1.8000000000000001E-18</v>
      </c>
      <c r="X197">
        <v>1</v>
      </c>
    </row>
    <row r="198" spans="1:24" x14ac:dyDescent="0.25">
      <c r="A198" t="s">
        <v>395</v>
      </c>
      <c r="B198" t="s">
        <v>29</v>
      </c>
      <c r="C198" t="s">
        <v>236</v>
      </c>
      <c r="D198">
        <v>-0.76580789500000002</v>
      </c>
      <c r="E198">
        <v>-0.201759837</v>
      </c>
      <c r="F198">
        <v>0.20639898313457225</v>
      </c>
      <c r="G198">
        <v>-0.96756773200000001</v>
      </c>
      <c r="H198">
        <v>0.27536557</v>
      </c>
      <c r="I198">
        <f t="shared" si="12"/>
        <v>-0.76116874886542774</v>
      </c>
      <c r="J198">
        <f t="shared" si="13"/>
        <v>0.31839257198377785</v>
      </c>
      <c r="K198">
        <v>-0.95194763900000001</v>
      </c>
      <c r="L198">
        <v>-8.8914592000000001E-2</v>
      </c>
      <c r="M198">
        <v>0.1319356394463834</v>
      </c>
      <c r="N198">
        <v>-1.040862231</v>
      </c>
      <c r="O198">
        <v>0.26098366000000001</v>
      </c>
      <c r="P198">
        <f t="shared" si="14"/>
        <v>-0.90892659155361655</v>
      </c>
      <c r="Q198">
        <f t="shared" si="15"/>
        <v>0.28721954002799593</v>
      </c>
      <c r="R198">
        <f>+AVERAGE(O198,H198)</f>
        <v>0.26817461500000001</v>
      </c>
      <c r="S198">
        <f>+AVERAGE(E198,L198)</f>
        <v>-0.14533721450000001</v>
      </c>
      <c r="T198">
        <f>+AVERAGE(G198,N198)</f>
        <v>-1.0042149815000001</v>
      </c>
      <c r="U198">
        <v>0.99634072399999996</v>
      </c>
      <c r="V198" s="1">
        <v>1.5199999999999999E-24</v>
      </c>
      <c r="W198">
        <v>2.7293439999999999E-3</v>
      </c>
      <c r="X198">
        <v>9.2993100000000005E-4</v>
      </c>
    </row>
    <row r="199" spans="1:24" x14ac:dyDescent="0.25">
      <c r="A199" t="s">
        <v>395</v>
      </c>
      <c r="B199" t="s">
        <v>45</v>
      </c>
      <c r="C199" t="s">
        <v>76</v>
      </c>
      <c r="D199">
        <v>-0.76580789500000002</v>
      </c>
      <c r="E199">
        <v>-3.6198068999999999E-2</v>
      </c>
      <c r="F199">
        <v>-0.58307157706059798</v>
      </c>
      <c r="G199">
        <v>-0.80200596400000002</v>
      </c>
      <c r="H199">
        <v>0.30959658699999998</v>
      </c>
      <c r="I199">
        <f t="shared" si="12"/>
        <v>-1.385077541060598</v>
      </c>
      <c r="J199">
        <f t="shared" si="13"/>
        <v>0.20019476228265129</v>
      </c>
      <c r="K199">
        <v>-0.95194763900000001</v>
      </c>
      <c r="L199">
        <v>3.4312054000000002E-2</v>
      </c>
      <c r="M199">
        <v>-0.76434299473732881</v>
      </c>
      <c r="N199">
        <v>-0.91763558599999995</v>
      </c>
      <c r="O199">
        <v>0.28543990499999999</v>
      </c>
      <c r="P199">
        <f t="shared" si="14"/>
        <v>-1.6819785797373288</v>
      </c>
      <c r="Q199">
        <f t="shared" si="15"/>
        <v>0.15683365003627453</v>
      </c>
      <c r="R199">
        <f>+AVERAGE(O199,H199)</f>
        <v>0.29751824599999999</v>
      </c>
      <c r="S199">
        <f>+AVERAGE(E199,L199)</f>
        <v>-9.4300749999999892E-4</v>
      </c>
      <c r="T199">
        <f>+AVERAGE(G199,N199)</f>
        <v>-0.85982077499999998</v>
      </c>
      <c r="U199" s="1">
        <v>3.5499999999999998E-17</v>
      </c>
      <c r="V199" s="1">
        <v>2.6900000000000002E-41</v>
      </c>
      <c r="W199" s="1">
        <v>6.4100000000000002E-21</v>
      </c>
      <c r="X199">
        <v>1</v>
      </c>
    </row>
    <row r="200" spans="1:24" x14ac:dyDescent="0.25">
      <c r="A200" t="s">
        <v>395</v>
      </c>
      <c r="B200" t="s">
        <v>50</v>
      </c>
      <c r="C200" t="s">
        <v>164</v>
      </c>
      <c r="D200">
        <v>-0.76580789500000002</v>
      </c>
      <c r="E200">
        <v>0.109487019</v>
      </c>
      <c r="F200">
        <v>0.35462276651059182</v>
      </c>
      <c r="G200">
        <v>-0.656320876</v>
      </c>
      <c r="H200">
        <v>0.34156655899999999</v>
      </c>
      <c r="I200">
        <f t="shared" si="12"/>
        <v>-0.30169810948940817</v>
      </c>
      <c r="J200">
        <f t="shared" si="13"/>
        <v>0.42514241877816644</v>
      </c>
      <c r="K200">
        <v>-0.95194763900000001</v>
      </c>
      <c r="L200">
        <v>0.35691322599999997</v>
      </c>
      <c r="M200">
        <v>0.53261546166894247</v>
      </c>
      <c r="N200">
        <v>-0.59503441300000004</v>
      </c>
      <c r="O200">
        <v>0.355480562</v>
      </c>
      <c r="P200">
        <f t="shared" si="14"/>
        <v>-6.2418951331057571E-2</v>
      </c>
      <c r="Q200">
        <f t="shared" si="15"/>
        <v>0.48440032669543787</v>
      </c>
      <c r="R200">
        <f>+AVERAGE(O200,H200)</f>
        <v>0.3485235605</v>
      </c>
      <c r="S200">
        <f>+AVERAGE(E200,L200)</f>
        <v>0.2332001225</v>
      </c>
      <c r="T200">
        <f>+AVERAGE(G200,N200)</f>
        <v>-0.62567764450000007</v>
      </c>
      <c r="U200" s="1">
        <v>4.4299999999999998E-14</v>
      </c>
      <c r="V200" s="1">
        <v>3.6399999999999998E-32</v>
      </c>
      <c r="W200" s="1">
        <v>7.9800000000000001E-19</v>
      </c>
      <c r="X200">
        <v>1</v>
      </c>
    </row>
    <row r="201" spans="1:24" x14ac:dyDescent="0.25">
      <c r="A201" t="s">
        <v>395</v>
      </c>
      <c r="B201" t="s">
        <v>50</v>
      </c>
      <c r="C201" t="s">
        <v>151</v>
      </c>
      <c r="D201">
        <v>-0.76580789500000002</v>
      </c>
      <c r="E201">
        <v>5.8002861000000003E-2</v>
      </c>
      <c r="F201">
        <v>0.35462276651059182</v>
      </c>
      <c r="G201">
        <v>-0.70780503400000006</v>
      </c>
      <c r="H201">
        <v>0.330084029</v>
      </c>
      <c r="I201">
        <f t="shared" si="12"/>
        <v>-0.35318226748940823</v>
      </c>
      <c r="J201">
        <f t="shared" si="13"/>
        <v>0.41261094280778304</v>
      </c>
      <c r="K201">
        <v>-0.95194763900000001</v>
      </c>
      <c r="L201">
        <v>0.35691322599999997</v>
      </c>
      <c r="M201">
        <v>0.53261546166894247</v>
      </c>
      <c r="N201">
        <v>-0.59503441300000004</v>
      </c>
      <c r="O201">
        <v>0.355480562</v>
      </c>
      <c r="P201">
        <f t="shared" si="14"/>
        <v>-6.2418951331057571E-2</v>
      </c>
      <c r="Q201">
        <f t="shared" si="15"/>
        <v>0.48440032669543787</v>
      </c>
      <c r="R201">
        <f>+AVERAGE(O201,H201)</f>
        <v>0.3427822955</v>
      </c>
      <c r="S201">
        <f>+AVERAGE(E201,L201)</f>
        <v>0.20745804349999999</v>
      </c>
      <c r="T201">
        <f>+AVERAGE(G201,N201)</f>
        <v>-0.6514197235000001</v>
      </c>
      <c r="U201" s="1">
        <v>1.6899999999999999E-14</v>
      </c>
      <c r="V201" s="1">
        <v>6.1099999999999997E-36</v>
      </c>
      <c r="W201" s="1">
        <v>8.6699999999999993E-18</v>
      </c>
      <c r="X201">
        <v>1</v>
      </c>
    </row>
    <row r="202" spans="1:24" x14ac:dyDescent="0.25">
      <c r="A202" t="s">
        <v>395</v>
      </c>
      <c r="B202" t="s">
        <v>54</v>
      </c>
      <c r="C202" t="s">
        <v>100</v>
      </c>
      <c r="D202">
        <v>-0.76580789500000002</v>
      </c>
      <c r="E202">
        <v>-0.34720188699999999</v>
      </c>
      <c r="F202">
        <v>0.10108352689561931</v>
      </c>
      <c r="G202">
        <v>-1.113009782</v>
      </c>
      <c r="H202">
        <v>0.24731019800000001</v>
      </c>
      <c r="I202">
        <f t="shared" si="12"/>
        <v>-1.0119262551043806</v>
      </c>
      <c r="J202">
        <f t="shared" si="13"/>
        <v>0.26660304878228358</v>
      </c>
      <c r="K202">
        <v>-0.95194763900000001</v>
      </c>
      <c r="L202">
        <v>-0.59513308899999995</v>
      </c>
      <c r="M202">
        <v>0.31611013044056913</v>
      </c>
      <c r="N202">
        <v>-1.5470807289999999</v>
      </c>
      <c r="O202">
        <v>0.175508302</v>
      </c>
      <c r="P202">
        <f t="shared" si="14"/>
        <v>-1.2309705975594309</v>
      </c>
      <c r="Q202">
        <f t="shared" si="15"/>
        <v>0.22601159360615189</v>
      </c>
      <c r="R202">
        <f>+AVERAGE(O202,H202)</f>
        <v>0.21140924999999999</v>
      </c>
      <c r="S202">
        <f>+AVERAGE(E202,L202)</f>
        <v>-0.47116748799999997</v>
      </c>
      <c r="T202">
        <f>+AVERAGE(G202,N202)</f>
        <v>-1.3300452555</v>
      </c>
      <c r="U202" s="1">
        <v>2.1499999999999999E-16</v>
      </c>
      <c r="V202" s="1">
        <v>2.1400000000000001E-37</v>
      </c>
      <c r="W202" s="1">
        <v>9.4099999999999996E-23</v>
      </c>
      <c r="X202">
        <v>1</v>
      </c>
    </row>
    <row r="203" spans="1:24" x14ac:dyDescent="0.25">
      <c r="A203" t="s">
        <v>395</v>
      </c>
      <c r="B203" t="s">
        <v>45</v>
      </c>
      <c r="C203" t="s">
        <v>133</v>
      </c>
      <c r="D203">
        <v>-0.76580789500000002</v>
      </c>
      <c r="E203">
        <v>0.13026306000000001</v>
      </c>
      <c r="F203">
        <v>-0.58307157706059798</v>
      </c>
      <c r="G203">
        <v>-0.63554483500000003</v>
      </c>
      <c r="H203">
        <v>0.34625432900000003</v>
      </c>
      <c r="I203">
        <f t="shared" si="12"/>
        <v>-1.218616412060598</v>
      </c>
      <c r="J203">
        <f t="shared" si="13"/>
        <v>0.22818002800000117</v>
      </c>
      <c r="K203">
        <v>-0.95194763900000001</v>
      </c>
      <c r="L203">
        <v>3.4312054000000002E-2</v>
      </c>
      <c r="M203">
        <v>-0.76434299473732881</v>
      </c>
      <c r="N203">
        <v>-0.91763558599999995</v>
      </c>
      <c r="O203">
        <v>0.28543990499999999</v>
      </c>
      <c r="P203">
        <f t="shared" si="14"/>
        <v>-1.6819785797373288</v>
      </c>
      <c r="Q203">
        <f t="shared" si="15"/>
        <v>0.15683365003627453</v>
      </c>
      <c r="R203">
        <f>+AVERAGE(O203,H203)</f>
        <v>0.31584711700000001</v>
      </c>
      <c r="S203">
        <f>+AVERAGE(E203,L203)</f>
        <v>8.2287557000000011E-2</v>
      </c>
      <c r="T203">
        <f>+AVERAGE(G203,N203)</f>
        <v>-0.77659021049999999</v>
      </c>
      <c r="U203" s="1">
        <v>3.7799999999999999E-15</v>
      </c>
      <c r="V203" s="1">
        <v>3.8000000000000001E-34</v>
      </c>
      <c r="W203" s="1">
        <v>6.2100000000000003E-20</v>
      </c>
      <c r="X203">
        <v>1</v>
      </c>
    </row>
    <row r="204" spans="1:24" x14ac:dyDescent="0.25">
      <c r="A204" t="s">
        <v>395</v>
      </c>
      <c r="B204" t="s">
        <v>29</v>
      </c>
      <c r="C204" t="s">
        <v>171</v>
      </c>
      <c r="D204">
        <v>-0.76580789500000002</v>
      </c>
      <c r="E204">
        <v>0.21931868900000001</v>
      </c>
      <c r="F204">
        <v>0.20639898313457225</v>
      </c>
      <c r="G204">
        <v>-0.54648920599999995</v>
      </c>
      <c r="H204">
        <v>0.366679323</v>
      </c>
      <c r="I204">
        <f t="shared" si="12"/>
        <v>-0.34009022286542767</v>
      </c>
      <c r="J204">
        <f t="shared" si="13"/>
        <v>0.41578756101837661</v>
      </c>
      <c r="K204">
        <v>-0.95194763900000001</v>
      </c>
      <c r="L204">
        <v>0.26033242099999998</v>
      </c>
      <c r="M204">
        <v>0.1319356394463834</v>
      </c>
      <c r="N204">
        <v>-0.691615219</v>
      </c>
      <c r="O204">
        <v>0.33367385599999999</v>
      </c>
      <c r="P204">
        <f t="shared" si="14"/>
        <v>-0.55967957855361661</v>
      </c>
      <c r="Q204">
        <f t="shared" si="15"/>
        <v>0.36362160229940621</v>
      </c>
      <c r="R204">
        <f>+AVERAGE(O204,H204)</f>
        <v>0.35017658949999997</v>
      </c>
      <c r="S204">
        <f>+AVERAGE(E204,L204)</f>
        <v>0.239825555</v>
      </c>
      <c r="T204">
        <f>+AVERAGE(G204,N204)</f>
        <v>-0.61905221249999998</v>
      </c>
      <c r="U204" s="1">
        <v>8.5599999999999996E-14</v>
      </c>
      <c r="V204" s="1">
        <v>2.7899999999999999E-37</v>
      </c>
      <c r="W204" s="1">
        <v>7.6599999999999993E-18</v>
      </c>
      <c r="X204">
        <v>1</v>
      </c>
    </row>
    <row r="205" spans="1:24" x14ac:dyDescent="0.25">
      <c r="A205" t="s">
        <v>395</v>
      </c>
      <c r="B205" t="s">
        <v>29</v>
      </c>
      <c r="C205" t="s">
        <v>57</v>
      </c>
      <c r="D205">
        <v>-0.76580789500000002</v>
      </c>
      <c r="E205">
        <v>0.220386941</v>
      </c>
      <c r="F205">
        <v>0.20639898313457225</v>
      </c>
      <c r="G205">
        <v>-0.54542095400000001</v>
      </c>
      <c r="H205">
        <v>0.366927434</v>
      </c>
      <c r="I205">
        <f t="shared" si="12"/>
        <v>-0.33902197086542774</v>
      </c>
      <c r="J205">
        <f t="shared" si="13"/>
        <v>0.41604707157932735</v>
      </c>
      <c r="K205">
        <v>-0.95194763900000001</v>
      </c>
      <c r="L205">
        <v>0.13733520199999999</v>
      </c>
      <c r="M205">
        <v>0.1319356394463834</v>
      </c>
      <c r="N205">
        <v>-0.81461243699999997</v>
      </c>
      <c r="O205">
        <v>0.30690848500000001</v>
      </c>
      <c r="P205">
        <f t="shared" si="14"/>
        <v>-0.68267679755361665</v>
      </c>
      <c r="Q205">
        <f t="shared" si="15"/>
        <v>0.33566413121006511</v>
      </c>
      <c r="R205">
        <f>+AVERAGE(O205,H205)</f>
        <v>0.33691795950000003</v>
      </c>
      <c r="S205">
        <f>+AVERAGE(E205,L205)</f>
        <v>0.1788610715</v>
      </c>
      <c r="T205">
        <f>+AVERAGE(G205,N205)</f>
        <v>-0.68001669549999999</v>
      </c>
      <c r="U205" s="1">
        <v>2.4400000000000001E-18</v>
      </c>
      <c r="V205" s="1">
        <v>4.2100000000000001E-41</v>
      </c>
      <c r="W205" s="1">
        <v>1.11E-22</v>
      </c>
      <c r="X205">
        <v>1</v>
      </c>
    </row>
    <row r="206" spans="1:24" x14ac:dyDescent="0.25">
      <c r="A206" t="s">
        <v>395</v>
      </c>
      <c r="B206" t="s">
        <v>12</v>
      </c>
      <c r="C206" t="s">
        <v>150</v>
      </c>
      <c r="D206">
        <v>-0.76580789500000002</v>
      </c>
      <c r="E206">
        <v>0.224897767</v>
      </c>
      <c r="F206">
        <v>0.26350859048821873</v>
      </c>
      <c r="G206">
        <v>-0.54091012800000005</v>
      </c>
      <c r="H206">
        <v>0.367975889</v>
      </c>
      <c r="I206">
        <f t="shared" si="12"/>
        <v>-0.27740153751178132</v>
      </c>
      <c r="J206">
        <f t="shared" si="13"/>
        <v>0.43109093854358221</v>
      </c>
      <c r="K206">
        <v>-0.95194763900000001</v>
      </c>
      <c r="L206">
        <v>0.22618287300000001</v>
      </c>
      <c r="M206">
        <v>-1.2208396677130032E-2</v>
      </c>
      <c r="N206">
        <v>-0.72576476599999995</v>
      </c>
      <c r="O206">
        <v>0.32612480700000002</v>
      </c>
      <c r="P206">
        <f t="shared" si="14"/>
        <v>-0.73797316267712998</v>
      </c>
      <c r="Q206">
        <f t="shared" si="15"/>
        <v>0.32344751618326228</v>
      </c>
      <c r="R206">
        <f>+AVERAGE(O206,H206)</f>
        <v>0.34705034800000001</v>
      </c>
      <c r="S206">
        <f>+AVERAGE(E206,L206)</f>
        <v>0.22554032000000002</v>
      </c>
      <c r="T206">
        <f>+AVERAGE(G206,N206)</f>
        <v>-0.63333744699999994</v>
      </c>
      <c r="U206" s="1">
        <v>1.5299999999999999E-14</v>
      </c>
      <c r="V206" s="1">
        <v>1.2099999999999999E-37</v>
      </c>
      <c r="W206" s="1">
        <v>1.1099999999999999E-17</v>
      </c>
      <c r="X206">
        <v>1</v>
      </c>
    </row>
    <row r="207" spans="1:24" x14ac:dyDescent="0.25">
      <c r="A207" t="s">
        <v>395</v>
      </c>
      <c r="B207" t="s">
        <v>33</v>
      </c>
      <c r="C207" t="s">
        <v>176</v>
      </c>
      <c r="D207">
        <v>-0.76580789500000002</v>
      </c>
      <c r="E207">
        <v>-0.157321299</v>
      </c>
      <c r="F207">
        <v>-0.28527186548946204</v>
      </c>
      <c r="G207">
        <v>-0.92312919299999996</v>
      </c>
      <c r="H207">
        <v>0.28432072899999999</v>
      </c>
      <c r="I207">
        <f t="shared" si="12"/>
        <v>-1.2084010594894621</v>
      </c>
      <c r="J207">
        <f t="shared" si="13"/>
        <v>0.22998408731971098</v>
      </c>
      <c r="K207">
        <v>-0.95194763900000001</v>
      </c>
      <c r="L207">
        <v>0.152215241</v>
      </c>
      <c r="M207">
        <v>-0.3346834104896344</v>
      </c>
      <c r="N207">
        <v>-0.79973239799999996</v>
      </c>
      <c r="O207">
        <v>0.31008276400000001</v>
      </c>
      <c r="P207">
        <f t="shared" si="14"/>
        <v>-1.1344158084896343</v>
      </c>
      <c r="Q207">
        <f t="shared" si="15"/>
        <v>0.24334710001898868</v>
      </c>
      <c r="R207">
        <f>+AVERAGE(O207,H207)</f>
        <v>0.29720174649999997</v>
      </c>
      <c r="S207">
        <f>+AVERAGE(E207,L207)</f>
        <v>-2.5530289999999983E-3</v>
      </c>
      <c r="T207">
        <f>+AVERAGE(G207,N207)</f>
        <v>-0.86143079550000001</v>
      </c>
      <c r="U207" s="1">
        <v>1.47E-13</v>
      </c>
      <c r="V207" s="1">
        <v>7.7E-34</v>
      </c>
      <c r="W207" s="1">
        <v>2.7799999999999998E-19</v>
      </c>
      <c r="X207">
        <v>1</v>
      </c>
    </row>
    <row r="208" spans="1:24" x14ac:dyDescent="0.25">
      <c r="A208" t="s">
        <v>395</v>
      </c>
      <c r="B208" t="s">
        <v>65</v>
      </c>
      <c r="C208" t="s">
        <v>68</v>
      </c>
      <c r="D208">
        <v>-0.76580789500000002</v>
      </c>
      <c r="E208">
        <v>2.1794643999999998E-2</v>
      </c>
      <c r="F208">
        <v>-0.24178949960145765</v>
      </c>
      <c r="G208">
        <v>-0.74401324999999996</v>
      </c>
      <c r="H208">
        <v>0.32212718099999998</v>
      </c>
      <c r="I208">
        <f t="shared" si="12"/>
        <v>-0.98580275060145772</v>
      </c>
      <c r="J208">
        <f t="shared" si="13"/>
        <v>0.27174190969324186</v>
      </c>
      <c r="K208">
        <v>-0.95194763900000001</v>
      </c>
      <c r="L208">
        <v>0.254725274</v>
      </c>
      <c r="M208">
        <v>0.1024183081098506</v>
      </c>
      <c r="N208">
        <v>-0.69722236500000001</v>
      </c>
      <c r="O208">
        <v>0.33242835300000001</v>
      </c>
      <c r="P208">
        <f t="shared" si="14"/>
        <v>-0.59480405689014937</v>
      </c>
      <c r="Q208">
        <f t="shared" si="15"/>
        <v>0.35553334134687087</v>
      </c>
      <c r="R208">
        <f>+AVERAGE(O208,H208)</f>
        <v>0.327277767</v>
      </c>
      <c r="S208">
        <f>+AVERAGE(E208,L208)</f>
        <v>0.13825995899999999</v>
      </c>
      <c r="T208">
        <f>+AVERAGE(G208,N208)</f>
        <v>-0.72061780750000004</v>
      </c>
      <c r="U208" s="1">
        <v>1.6900000000000001E-17</v>
      </c>
      <c r="V208" s="1">
        <v>2.4999999999999998E-41</v>
      </c>
      <c r="W208" s="1">
        <v>3.1499999999999998E-20</v>
      </c>
      <c r="X208">
        <v>1</v>
      </c>
    </row>
    <row r="209" spans="1:24" x14ac:dyDescent="0.25">
      <c r="A209" t="s">
        <v>395</v>
      </c>
      <c r="B209" t="s">
        <v>45</v>
      </c>
      <c r="C209" t="s">
        <v>189</v>
      </c>
      <c r="D209">
        <v>-0.76580789500000002</v>
      </c>
      <c r="E209">
        <v>-1.7615012999999999E-2</v>
      </c>
      <c r="F209">
        <v>-0.58307157706059798</v>
      </c>
      <c r="G209">
        <v>-0.78342290699999995</v>
      </c>
      <c r="H209">
        <v>0.31358264000000002</v>
      </c>
      <c r="I209">
        <f t="shared" si="12"/>
        <v>-1.366494485060598</v>
      </c>
      <c r="J209">
        <f t="shared" si="13"/>
        <v>0.20318680556509686</v>
      </c>
      <c r="K209">
        <v>-0.95194763900000001</v>
      </c>
      <c r="L209">
        <v>3.4312054000000002E-2</v>
      </c>
      <c r="M209">
        <v>-0.76434299473732881</v>
      </c>
      <c r="N209">
        <v>-0.91763558599999995</v>
      </c>
      <c r="O209">
        <v>0.28543990499999999</v>
      </c>
      <c r="P209">
        <f t="shared" si="14"/>
        <v>-1.6819785797373288</v>
      </c>
      <c r="Q209">
        <f t="shared" si="15"/>
        <v>0.15683365003627453</v>
      </c>
      <c r="R209">
        <f>+AVERAGE(O209,H209)</f>
        <v>0.29951127249999998</v>
      </c>
      <c r="S209">
        <f>+AVERAGE(E209,L209)</f>
        <v>8.3485205000000014E-3</v>
      </c>
      <c r="T209">
        <f>+AVERAGE(G209,N209)</f>
        <v>-0.85052924649999995</v>
      </c>
      <c r="U209" s="1">
        <v>1.2499999999999999E-12</v>
      </c>
      <c r="V209" s="1">
        <v>7.52E-34</v>
      </c>
      <c r="W209" s="1">
        <v>3.7400000000000001E-18</v>
      </c>
      <c r="X209">
        <v>1</v>
      </c>
    </row>
    <row r="210" spans="1:24" x14ac:dyDescent="0.25">
      <c r="A210" t="s">
        <v>395</v>
      </c>
      <c r="B210" t="s">
        <v>27</v>
      </c>
      <c r="C210" t="s">
        <v>212</v>
      </c>
      <c r="D210">
        <v>-0.76580789500000002</v>
      </c>
      <c r="E210">
        <v>-0.13557148199999999</v>
      </c>
      <c r="F210">
        <v>0.36676956185289034</v>
      </c>
      <c r="G210">
        <v>-0.90137937700000004</v>
      </c>
      <c r="H210">
        <v>0.28876711799999999</v>
      </c>
      <c r="I210">
        <f t="shared" si="12"/>
        <v>-0.5346098151471097</v>
      </c>
      <c r="J210">
        <f t="shared" si="13"/>
        <v>0.36944236511455025</v>
      </c>
      <c r="K210">
        <v>-0.95194763900000001</v>
      </c>
      <c r="L210">
        <v>-1.5286274000000001E-2</v>
      </c>
      <c r="M210">
        <v>0.3511302049154727</v>
      </c>
      <c r="N210">
        <v>-0.96723391299999995</v>
      </c>
      <c r="O210">
        <v>0.275432185</v>
      </c>
      <c r="P210">
        <f t="shared" si="14"/>
        <v>-0.6161037080845273</v>
      </c>
      <c r="Q210">
        <f t="shared" si="15"/>
        <v>0.35066812003339698</v>
      </c>
      <c r="R210">
        <f>+AVERAGE(O210,H210)</f>
        <v>0.28209965149999999</v>
      </c>
      <c r="S210">
        <f>+AVERAGE(E210,L210)</f>
        <v>-7.5428877999999991E-2</v>
      </c>
      <c r="T210">
        <f>+AVERAGE(G210,N210)</f>
        <v>-0.93430664499999994</v>
      </c>
      <c r="U210">
        <v>7.9300000000000003E-5</v>
      </c>
      <c r="V210">
        <v>0.99991929000000002</v>
      </c>
      <c r="W210">
        <v>1.3799999999999999E-6</v>
      </c>
      <c r="X210" s="1">
        <v>3.45E-17</v>
      </c>
    </row>
    <row r="211" spans="1:24" x14ac:dyDescent="0.25">
      <c r="A211" t="s">
        <v>395</v>
      </c>
      <c r="B211" t="s">
        <v>45</v>
      </c>
      <c r="C211" t="s">
        <v>183</v>
      </c>
      <c r="D211">
        <v>-0.76580789500000002</v>
      </c>
      <c r="E211">
        <v>0.182136252</v>
      </c>
      <c r="F211">
        <v>-0.58307157706059798</v>
      </c>
      <c r="G211">
        <v>-0.58367164299999996</v>
      </c>
      <c r="H211">
        <v>0.358088187</v>
      </c>
      <c r="I211">
        <f t="shared" si="12"/>
        <v>-1.1667432200605981</v>
      </c>
      <c r="J211">
        <f t="shared" si="13"/>
        <v>0.23744416696831763</v>
      </c>
      <c r="K211">
        <v>-0.95194763900000001</v>
      </c>
      <c r="L211">
        <v>3.4312054000000002E-2</v>
      </c>
      <c r="M211">
        <v>-0.76434299473732881</v>
      </c>
      <c r="N211">
        <v>-0.91763558599999995</v>
      </c>
      <c r="O211">
        <v>0.28543990499999999</v>
      </c>
      <c r="P211">
        <f t="shared" si="14"/>
        <v>-1.6819785797373288</v>
      </c>
      <c r="Q211">
        <f t="shared" si="15"/>
        <v>0.15683365003627453</v>
      </c>
      <c r="R211">
        <f>+AVERAGE(O211,H211)</f>
        <v>0.32176404599999997</v>
      </c>
      <c r="S211">
        <f>+AVERAGE(E211,L211)</f>
        <v>0.108224153</v>
      </c>
      <c r="T211">
        <f>+AVERAGE(G211,N211)</f>
        <v>-0.75065361450000001</v>
      </c>
      <c r="U211" s="1">
        <v>6.4299999999999999E-13</v>
      </c>
      <c r="V211" s="1">
        <v>1.2299999999999999E-33</v>
      </c>
      <c r="W211" s="1">
        <v>9.2999999999999995E-17</v>
      </c>
      <c r="X211">
        <v>1</v>
      </c>
    </row>
    <row r="212" spans="1:24" x14ac:dyDescent="0.25">
      <c r="A212" t="s">
        <v>395</v>
      </c>
      <c r="B212" t="s">
        <v>12</v>
      </c>
      <c r="C212" t="s">
        <v>109</v>
      </c>
      <c r="D212">
        <v>-0.76580789500000002</v>
      </c>
      <c r="E212">
        <v>-0.28343053600000001</v>
      </c>
      <c r="F212">
        <v>0.26350859048821873</v>
      </c>
      <c r="G212">
        <v>-1.049238431</v>
      </c>
      <c r="H212">
        <v>0.25937136999999999</v>
      </c>
      <c r="I212">
        <f t="shared" si="12"/>
        <v>-0.7857298405117813</v>
      </c>
      <c r="J212">
        <f t="shared" si="13"/>
        <v>0.31308629006442507</v>
      </c>
      <c r="K212">
        <v>-0.95194763900000001</v>
      </c>
      <c r="L212">
        <v>-0.45453711099999999</v>
      </c>
      <c r="M212">
        <v>-1.2208396677130032E-2</v>
      </c>
      <c r="N212">
        <v>-1.40648475</v>
      </c>
      <c r="O212">
        <v>0.196789096</v>
      </c>
      <c r="P212">
        <f t="shared" si="14"/>
        <v>-1.41869314667713</v>
      </c>
      <c r="Q212">
        <f t="shared" si="15"/>
        <v>0.19486653871788812</v>
      </c>
      <c r="R212">
        <f>+AVERAGE(O212,H212)</f>
        <v>0.22808023299999999</v>
      </c>
      <c r="S212">
        <f>+AVERAGE(E212,L212)</f>
        <v>-0.36898382350000003</v>
      </c>
      <c r="T212">
        <f>+AVERAGE(G212,N212)</f>
        <v>-1.2278615904999999</v>
      </c>
      <c r="U212" s="1">
        <v>6.4500000000000003E-16</v>
      </c>
      <c r="V212" s="1">
        <v>5.1699999999999997E-39</v>
      </c>
      <c r="W212" s="1">
        <v>1.51E-21</v>
      </c>
      <c r="X212">
        <v>1</v>
      </c>
    </row>
    <row r="213" spans="1:24" x14ac:dyDescent="0.25">
      <c r="A213" t="s">
        <v>395</v>
      </c>
      <c r="B213" t="s">
        <v>65</v>
      </c>
      <c r="C213" t="s">
        <v>120</v>
      </c>
      <c r="D213">
        <v>-0.76580789500000002</v>
      </c>
      <c r="E213">
        <v>-0.38402197700000001</v>
      </c>
      <c r="F213">
        <v>-0.24178949960145765</v>
      </c>
      <c r="G213">
        <v>-1.149829872</v>
      </c>
      <c r="H213">
        <v>0.24052015900000001</v>
      </c>
      <c r="I213">
        <f t="shared" si="12"/>
        <v>-1.3916193716014575</v>
      </c>
      <c r="J213">
        <f t="shared" si="13"/>
        <v>0.19914935923429183</v>
      </c>
      <c r="K213">
        <v>-0.95194763900000001</v>
      </c>
      <c r="L213">
        <v>-0.585796651</v>
      </c>
      <c r="M213">
        <v>0.1024183081098506</v>
      </c>
      <c r="N213">
        <v>-1.53774429</v>
      </c>
      <c r="O213">
        <v>0.17686342799999999</v>
      </c>
      <c r="P213">
        <f t="shared" si="14"/>
        <v>-1.4353259818901494</v>
      </c>
      <c r="Q213">
        <f t="shared" si="15"/>
        <v>0.19227019074034996</v>
      </c>
      <c r="R213">
        <f>+AVERAGE(O213,H213)</f>
        <v>0.2086917935</v>
      </c>
      <c r="S213">
        <f>+AVERAGE(E213,L213)</f>
        <v>-0.48490931400000004</v>
      </c>
      <c r="T213">
        <f>+AVERAGE(G213,N213)</f>
        <v>-1.3437870809999999</v>
      </c>
      <c r="U213" s="1">
        <v>1.0499999999999999E-15</v>
      </c>
      <c r="V213" s="1">
        <v>2.18E-37</v>
      </c>
      <c r="W213" s="1">
        <v>3.5800000000000003E-20</v>
      </c>
      <c r="X213">
        <v>1</v>
      </c>
    </row>
    <row r="214" spans="1:24" x14ac:dyDescent="0.25">
      <c r="A214" t="s">
        <v>395</v>
      </c>
      <c r="B214" t="s">
        <v>38</v>
      </c>
      <c r="C214" t="s">
        <v>224</v>
      </c>
      <c r="D214">
        <v>-0.76580789500000002</v>
      </c>
      <c r="E214">
        <v>9.5351150999999995E-2</v>
      </c>
      <c r="F214">
        <v>-6.8234224002180349E-2</v>
      </c>
      <c r="G214">
        <v>-0.67045674399999999</v>
      </c>
      <c r="H214">
        <v>0.338394576</v>
      </c>
      <c r="I214">
        <f t="shared" si="12"/>
        <v>-0.73869096800218037</v>
      </c>
      <c r="J214">
        <f t="shared" si="13"/>
        <v>0.32329045931415057</v>
      </c>
      <c r="K214">
        <v>-0.95194763900000001</v>
      </c>
      <c r="L214">
        <v>8.1264909999999996E-2</v>
      </c>
      <c r="M214">
        <v>0.23599397861893998</v>
      </c>
      <c r="N214">
        <v>-0.87068272899999999</v>
      </c>
      <c r="O214">
        <v>0.29511226000000002</v>
      </c>
      <c r="P214">
        <f t="shared" si="14"/>
        <v>-0.63468875038105999</v>
      </c>
      <c r="Q214">
        <f t="shared" si="15"/>
        <v>0.34644813943904013</v>
      </c>
      <c r="R214">
        <f>+AVERAGE(O214,H214)</f>
        <v>0.31675341800000001</v>
      </c>
      <c r="S214">
        <f>+AVERAGE(E214,L214)</f>
        <v>8.8308030499999995E-2</v>
      </c>
      <c r="T214">
        <f>+AVERAGE(G214,N214)</f>
        <v>-0.77056973649999994</v>
      </c>
      <c r="U214">
        <v>0.872374066</v>
      </c>
      <c r="V214" s="1">
        <v>3.4299999999999999E-22</v>
      </c>
      <c r="W214">
        <v>0.12762495200000001</v>
      </c>
      <c r="X214">
        <v>9.8100000000000001E-7</v>
      </c>
    </row>
    <row r="215" spans="1:24" x14ac:dyDescent="0.25">
      <c r="A215" t="s">
        <v>395</v>
      </c>
      <c r="B215" t="s">
        <v>15</v>
      </c>
      <c r="C215" t="s">
        <v>145</v>
      </c>
      <c r="D215">
        <v>-0.76580789500000002</v>
      </c>
      <c r="E215">
        <v>0.13126332299999999</v>
      </c>
      <c r="F215">
        <v>-0.10826025021424537</v>
      </c>
      <c r="G215">
        <v>-0.63454457099999995</v>
      </c>
      <c r="H215">
        <v>0.34648078500000001</v>
      </c>
      <c r="I215">
        <f t="shared" si="12"/>
        <v>-0.74280482221424537</v>
      </c>
      <c r="J215">
        <f t="shared" si="13"/>
        <v>0.32239111110574137</v>
      </c>
      <c r="K215">
        <v>-0.95194763900000001</v>
      </c>
      <c r="L215">
        <v>-0.118486593</v>
      </c>
      <c r="M215">
        <v>4.2640450553629666E-2</v>
      </c>
      <c r="N215">
        <v>-1.070434232</v>
      </c>
      <c r="O215">
        <v>0.255320514</v>
      </c>
      <c r="P215">
        <f t="shared" si="14"/>
        <v>-1.0277937814463702</v>
      </c>
      <c r="Q215">
        <f t="shared" si="15"/>
        <v>0.26351204915940818</v>
      </c>
      <c r="R215">
        <f>+AVERAGE(O215,H215)</f>
        <v>0.30090064950000001</v>
      </c>
      <c r="S215">
        <f>+AVERAGE(E215,L215)</f>
        <v>6.3883649999999931E-3</v>
      </c>
      <c r="T215">
        <f>+AVERAGE(G215,N215)</f>
        <v>-0.85248940149999997</v>
      </c>
      <c r="U215" s="1">
        <v>8.3999999999999992E-15</v>
      </c>
      <c r="V215" s="1">
        <v>6.2099999999999999E-38</v>
      </c>
      <c r="W215" s="1">
        <v>1.74E-19</v>
      </c>
      <c r="X215">
        <v>1</v>
      </c>
    </row>
    <row r="216" spans="1:24" x14ac:dyDescent="0.25">
      <c r="A216" t="s">
        <v>395</v>
      </c>
      <c r="B216" t="s">
        <v>62</v>
      </c>
      <c r="C216" t="s">
        <v>138</v>
      </c>
      <c r="D216">
        <v>-0.76580789500000002</v>
      </c>
      <c r="E216">
        <v>1.1851482999999999E-2</v>
      </c>
      <c r="F216">
        <v>0.33310825262365334</v>
      </c>
      <c r="G216">
        <v>-0.75395641099999999</v>
      </c>
      <c r="H216">
        <v>0.31995983</v>
      </c>
      <c r="I216">
        <f t="shared" si="12"/>
        <v>-0.42084815937634662</v>
      </c>
      <c r="J216">
        <f t="shared" si="13"/>
        <v>0.39631381087010359</v>
      </c>
      <c r="K216">
        <v>-0.95194763900000001</v>
      </c>
      <c r="L216">
        <v>0.16527081299999999</v>
      </c>
      <c r="M216">
        <v>0.5567754477651996</v>
      </c>
      <c r="N216">
        <v>-0.78667682699999997</v>
      </c>
      <c r="O216">
        <v>0.31288266399999998</v>
      </c>
      <c r="P216">
        <f t="shared" si="14"/>
        <v>-0.22990137823480039</v>
      </c>
      <c r="Q216">
        <f t="shared" si="15"/>
        <v>0.44277647776532886</v>
      </c>
      <c r="R216">
        <f>+AVERAGE(O216,H216)</f>
        <v>0.31642124699999996</v>
      </c>
      <c r="S216">
        <f>+AVERAGE(E216,L216)</f>
        <v>8.8561147999999992E-2</v>
      </c>
      <c r="T216">
        <f>+AVERAGE(G216,N216)</f>
        <v>-0.77031661899999992</v>
      </c>
      <c r="U216" s="1">
        <v>4.76E-15</v>
      </c>
      <c r="V216" s="1">
        <v>3.0299999999999999E-34</v>
      </c>
      <c r="W216" s="1">
        <v>2.6099999999999998E-15</v>
      </c>
      <c r="X216">
        <v>1</v>
      </c>
    </row>
    <row r="217" spans="1:24" x14ac:dyDescent="0.25">
      <c r="A217" t="s">
        <v>395</v>
      </c>
      <c r="B217" t="s">
        <v>38</v>
      </c>
      <c r="C217" t="s">
        <v>213</v>
      </c>
      <c r="D217">
        <v>-0.76580789500000002</v>
      </c>
      <c r="E217">
        <v>1.3549829999999999E-3</v>
      </c>
      <c r="F217">
        <v>-6.8234224002180349E-2</v>
      </c>
      <c r="G217">
        <v>-0.76445291199999998</v>
      </c>
      <c r="H217">
        <v>0.31768027300000001</v>
      </c>
      <c r="I217">
        <f t="shared" si="12"/>
        <v>-0.83268713600218036</v>
      </c>
      <c r="J217">
        <f t="shared" si="13"/>
        <v>0.30307718937273836</v>
      </c>
      <c r="K217">
        <v>-0.95194763900000001</v>
      </c>
      <c r="L217">
        <v>5.0290498000000003E-2</v>
      </c>
      <c r="M217">
        <v>0.23599397861893998</v>
      </c>
      <c r="N217">
        <v>-0.90165714100000005</v>
      </c>
      <c r="O217">
        <v>0.28871007300000001</v>
      </c>
      <c r="P217">
        <f t="shared" si="14"/>
        <v>-0.66566316238106005</v>
      </c>
      <c r="Q217">
        <f t="shared" si="15"/>
        <v>0.33946861041029353</v>
      </c>
      <c r="R217">
        <f>+AVERAGE(O217,H217)</f>
        <v>0.30319517299999998</v>
      </c>
      <c r="S217">
        <f>+AVERAGE(E217,L217)</f>
        <v>2.58227405E-2</v>
      </c>
      <c r="T217">
        <f>+AVERAGE(G217,N217)</f>
        <v>-0.83305502650000007</v>
      </c>
      <c r="U217">
        <v>3.8211499999999998E-4</v>
      </c>
      <c r="V217">
        <v>0.99961740300000002</v>
      </c>
      <c r="W217">
        <v>4.8299999999999997E-7</v>
      </c>
      <c r="X217" s="1">
        <v>2.9700000000000001E-15</v>
      </c>
    </row>
    <row r="218" spans="1:24" x14ac:dyDescent="0.25">
      <c r="A218" t="s">
        <v>395</v>
      </c>
      <c r="B218" t="s">
        <v>54</v>
      </c>
      <c r="C218" t="s">
        <v>98</v>
      </c>
      <c r="D218">
        <v>-0.76580789500000002</v>
      </c>
      <c r="E218">
        <v>-0.54429720500000001</v>
      </c>
      <c r="F218">
        <v>0.10108352689561931</v>
      </c>
      <c r="G218">
        <v>-1.3101050999999999</v>
      </c>
      <c r="H218">
        <v>0.21246925799999999</v>
      </c>
      <c r="I218">
        <f t="shared" si="12"/>
        <v>-1.2090215731043805</v>
      </c>
      <c r="J218">
        <f t="shared" si="13"/>
        <v>0.22987421810259809</v>
      </c>
      <c r="K218">
        <v>-0.95194763900000001</v>
      </c>
      <c r="L218">
        <v>-0.44742539599999998</v>
      </c>
      <c r="M218">
        <v>0.31611013044056913</v>
      </c>
      <c r="N218">
        <v>-1.399373035</v>
      </c>
      <c r="O218">
        <v>0.19791561999999999</v>
      </c>
      <c r="P218">
        <f t="shared" si="14"/>
        <v>-1.0832629045594309</v>
      </c>
      <c r="Q218">
        <f t="shared" si="15"/>
        <v>0.25288903904075399</v>
      </c>
      <c r="R218">
        <f>+AVERAGE(O218,H218)</f>
        <v>0.205192439</v>
      </c>
      <c r="S218">
        <f>+AVERAGE(E218,L218)</f>
        <v>-0.49586130049999999</v>
      </c>
      <c r="T218">
        <f>+AVERAGE(G218,N218)</f>
        <v>-1.3547390674999999</v>
      </c>
      <c r="U218" s="1">
        <v>1.73E-16</v>
      </c>
      <c r="V218" s="1">
        <v>4.17E-36</v>
      </c>
      <c r="W218" s="1">
        <v>2.46E-21</v>
      </c>
      <c r="X218">
        <v>1</v>
      </c>
    </row>
    <row r="219" spans="1:24" x14ac:dyDescent="0.25">
      <c r="A219" t="s">
        <v>395</v>
      </c>
      <c r="B219" t="s">
        <v>54</v>
      </c>
      <c r="C219" t="s">
        <v>262</v>
      </c>
      <c r="D219">
        <v>-0.76580789500000002</v>
      </c>
      <c r="E219">
        <v>-0.37832717500000002</v>
      </c>
      <c r="F219">
        <v>0.10108352689561931</v>
      </c>
      <c r="G219">
        <v>-1.1441350699999999</v>
      </c>
      <c r="H219">
        <v>0.24156196599999999</v>
      </c>
      <c r="I219">
        <f t="shared" si="12"/>
        <v>-1.0430515431043805</v>
      </c>
      <c r="J219">
        <f t="shared" si="13"/>
        <v>0.260561625910324</v>
      </c>
      <c r="K219">
        <v>-0.95194763900000001</v>
      </c>
      <c r="L219">
        <v>-0.44742539599999998</v>
      </c>
      <c r="M219">
        <v>0.31611013044056913</v>
      </c>
      <c r="N219">
        <v>-1.399373035</v>
      </c>
      <c r="O219">
        <v>0.19791561999999999</v>
      </c>
      <c r="P219">
        <f t="shared" si="14"/>
        <v>-1.0832629045594309</v>
      </c>
      <c r="Q219">
        <f t="shared" si="15"/>
        <v>0.25288903904075399</v>
      </c>
      <c r="R219">
        <f>+AVERAGE(O219,H219)</f>
        <v>0.21973879299999999</v>
      </c>
      <c r="S219">
        <f>+AVERAGE(E219,L219)</f>
        <v>-0.4128762855</v>
      </c>
      <c r="T219">
        <f>+AVERAGE(G219,N219)</f>
        <v>-1.2717540525</v>
      </c>
      <c r="U219">
        <v>0.99996515200000002</v>
      </c>
      <c r="V219" s="1">
        <v>1.81E-18</v>
      </c>
      <c r="W219">
        <v>3.4799999999999999E-5</v>
      </c>
      <c r="X219" s="1">
        <v>4.3499999999999999E-8</v>
      </c>
    </row>
    <row r="220" spans="1:24" x14ac:dyDescent="0.25">
      <c r="A220" t="s">
        <v>395</v>
      </c>
      <c r="B220" t="s">
        <v>12</v>
      </c>
      <c r="C220" t="s">
        <v>166</v>
      </c>
      <c r="D220">
        <v>-0.76580789500000002</v>
      </c>
      <c r="E220">
        <v>-0.16182183999999999</v>
      </c>
      <c r="F220">
        <v>0.26350859048821873</v>
      </c>
      <c r="G220">
        <v>-0.92762973500000001</v>
      </c>
      <c r="H220">
        <v>0.28340583699999999</v>
      </c>
      <c r="I220">
        <f t="shared" si="12"/>
        <v>-0.66412114451178128</v>
      </c>
      <c r="J220">
        <f t="shared" si="13"/>
        <v>0.33981446211720079</v>
      </c>
      <c r="K220">
        <v>-0.95194763900000001</v>
      </c>
      <c r="L220">
        <v>-0.18157598999999999</v>
      </c>
      <c r="M220">
        <v>-1.2208396677130032E-2</v>
      </c>
      <c r="N220">
        <v>-1.1335236289999999</v>
      </c>
      <c r="O220">
        <v>0.24351141400000001</v>
      </c>
      <c r="P220">
        <f t="shared" si="14"/>
        <v>-1.14573202567713</v>
      </c>
      <c r="Q220">
        <f t="shared" si="15"/>
        <v>0.24126950919565751</v>
      </c>
      <c r="R220">
        <f>+AVERAGE(O220,H220)</f>
        <v>0.26345862549999999</v>
      </c>
      <c r="S220">
        <f>+AVERAGE(E220,L220)</f>
        <v>-0.17169891500000001</v>
      </c>
      <c r="T220">
        <f>+AVERAGE(G220,N220)</f>
        <v>-1.030576682</v>
      </c>
      <c r="U220" s="1">
        <v>6.34E-14</v>
      </c>
      <c r="V220" s="1">
        <v>3.8800000000000001E-39</v>
      </c>
      <c r="W220" s="1">
        <v>1.1399999999999999E-20</v>
      </c>
      <c r="X220">
        <v>1</v>
      </c>
    </row>
    <row r="221" spans="1:24" x14ac:dyDescent="0.25">
      <c r="A221" t="s">
        <v>395</v>
      </c>
      <c r="B221" t="s">
        <v>54</v>
      </c>
      <c r="C221" t="s">
        <v>128</v>
      </c>
      <c r="D221">
        <v>-0.76580789500000002</v>
      </c>
      <c r="E221">
        <v>0.25365269600000001</v>
      </c>
      <c r="F221">
        <v>0.10108352689561931</v>
      </c>
      <c r="G221">
        <v>-0.51215519899999995</v>
      </c>
      <c r="H221">
        <v>0.37468843299999999</v>
      </c>
      <c r="I221">
        <f t="shared" si="12"/>
        <v>-0.41107167210438067</v>
      </c>
      <c r="J221">
        <f t="shared" si="13"/>
        <v>0.39865518214434442</v>
      </c>
      <c r="K221">
        <v>-0.95194763900000001</v>
      </c>
      <c r="L221">
        <v>0.36965118800000002</v>
      </c>
      <c r="M221">
        <v>0.31611013044056913</v>
      </c>
      <c r="N221">
        <v>-0.58229645100000005</v>
      </c>
      <c r="O221">
        <v>0.35840435199999998</v>
      </c>
      <c r="P221">
        <f t="shared" si="14"/>
        <v>-0.26618632055943081</v>
      </c>
      <c r="Q221">
        <f t="shared" si="15"/>
        <v>0.43384358626300595</v>
      </c>
      <c r="R221">
        <f>+AVERAGE(O221,H221)</f>
        <v>0.36654639249999998</v>
      </c>
      <c r="S221">
        <f>+AVERAGE(E221,L221)</f>
        <v>0.31165194200000002</v>
      </c>
      <c r="T221">
        <f>+AVERAGE(G221,N221)</f>
        <v>-0.54722582499999994</v>
      </c>
      <c r="U221" s="1">
        <v>2.8700000000000001E-15</v>
      </c>
      <c r="V221" s="1">
        <v>5.4800000000000003E-35</v>
      </c>
      <c r="W221" s="1">
        <v>2.1600000000000002E-21</v>
      </c>
      <c r="X221">
        <v>1</v>
      </c>
    </row>
    <row r="222" spans="1:24" x14ac:dyDescent="0.25">
      <c r="A222" t="s">
        <v>396</v>
      </c>
      <c r="B222" t="s">
        <v>26</v>
      </c>
      <c r="C222" t="s">
        <v>153</v>
      </c>
      <c r="D222">
        <v>-0.57457681100000002</v>
      </c>
      <c r="E222">
        <v>0.60123682099999998</v>
      </c>
      <c r="F222">
        <v>0</v>
      </c>
      <c r="G222">
        <v>2.6660008999999998E-2</v>
      </c>
      <c r="H222">
        <v>0.50666460800000002</v>
      </c>
      <c r="I222">
        <f t="shared" si="12"/>
        <v>2.6660009999999956E-2</v>
      </c>
      <c r="J222">
        <f t="shared" si="13"/>
        <v>0.50666460776210587</v>
      </c>
      <c r="K222">
        <v>-0.80976737799999998</v>
      </c>
      <c r="L222">
        <v>1.0562992389999999</v>
      </c>
      <c r="M222">
        <v>0</v>
      </c>
      <c r="N222">
        <v>0.24653186099999999</v>
      </c>
      <c r="O222">
        <v>0.56132269000000001</v>
      </c>
      <c r="P222">
        <f t="shared" si="14"/>
        <v>0.24653186099999991</v>
      </c>
      <c r="Q222">
        <f t="shared" si="15"/>
        <v>0.56132269041711569</v>
      </c>
      <c r="R222">
        <f>+AVERAGE(O222,H222)</f>
        <v>0.53399364900000001</v>
      </c>
      <c r="S222">
        <f>+AVERAGE(E222,L222)</f>
        <v>0.82876802999999999</v>
      </c>
      <c r="T222">
        <f>+AVERAGE(G222,N222)</f>
        <v>0.136595935</v>
      </c>
      <c r="U222" s="1">
        <v>2E-14</v>
      </c>
      <c r="V222" s="1">
        <v>2.4500000000000002E-35</v>
      </c>
      <c r="W222" s="1">
        <v>1.3600000000000001E-12</v>
      </c>
      <c r="X222">
        <v>1</v>
      </c>
    </row>
    <row r="223" spans="1:24" x14ac:dyDescent="0.25">
      <c r="A223" t="s">
        <v>396</v>
      </c>
      <c r="B223" t="s">
        <v>21</v>
      </c>
      <c r="C223" t="s">
        <v>22</v>
      </c>
      <c r="D223">
        <v>-0.57457681100000002</v>
      </c>
      <c r="E223">
        <v>-0.57768908200000002</v>
      </c>
      <c r="F223">
        <v>9.5030818057487976E-3</v>
      </c>
      <c r="G223">
        <v>-1.1522658939999999</v>
      </c>
      <c r="H223">
        <v>0.24007545199999999</v>
      </c>
      <c r="I223">
        <f t="shared" si="12"/>
        <v>-1.1427628111942512</v>
      </c>
      <c r="J223">
        <f t="shared" si="13"/>
        <v>0.24181346672629039</v>
      </c>
      <c r="K223">
        <v>-0.80976737799999998</v>
      </c>
      <c r="L223">
        <v>-1.3690700149999999</v>
      </c>
      <c r="M223">
        <v>-1.6947105307120725E-2</v>
      </c>
      <c r="N223">
        <v>-2.1788373929999998</v>
      </c>
      <c r="O223">
        <v>0.101667061</v>
      </c>
      <c r="P223">
        <f t="shared" si="14"/>
        <v>-2.1957844983071206</v>
      </c>
      <c r="Q223">
        <f t="shared" si="15"/>
        <v>0.1001296817910185</v>
      </c>
      <c r="R223">
        <f>+AVERAGE(O223,H223)</f>
        <v>0.17087125650000001</v>
      </c>
      <c r="S223">
        <f>+AVERAGE(E223,L223)</f>
        <v>-0.97337954849999997</v>
      </c>
      <c r="T223">
        <f>+AVERAGE(G223,N223)</f>
        <v>-1.6655516434999997</v>
      </c>
      <c r="U223" s="1">
        <v>1.64E-44</v>
      </c>
      <c r="V223">
        <v>1</v>
      </c>
      <c r="W223" s="1">
        <v>1.06E-47</v>
      </c>
      <c r="X223" s="1">
        <v>1.25E-71</v>
      </c>
    </row>
    <row r="224" spans="1:24" x14ac:dyDescent="0.25">
      <c r="A224" t="s">
        <v>396</v>
      </c>
      <c r="B224" t="s">
        <v>24</v>
      </c>
      <c r="C224" t="s">
        <v>264</v>
      </c>
      <c r="D224">
        <v>-0.57457681100000002</v>
      </c>
      <c r="E224">
        <v>-5.6501788999999997E-2</v>
      </c>
      <c r="F224">
        <v>-4.6370389673564522E-2</v>
      </c>
      <c r="G224">
        <v>-0.63107860000000005</v>
      </c>
      <c r="H224">
        <v>0.34726600899999999</v>
      </c>
      <c r="I224">
        <f t="shared" si="12"/>
        <v>-0.67744898967356459</v>
      </c>
      <c r="J224">
        <f t="shared" si="13"/>
        <v>0.33683089928055143</v>
      </c>
      <c r="K224">
        <v>-0.80976737799999998</v>
      </c>
      <c r="L224">
        <v>-5.8923198000000003E-2</v>
      </c>
      <c r="M224">
        <v>-0.13190576120816735</v>
      </c>
      <c r="N224">
        <v>-0.86869057599999999</v>
      </c>
      <c r="O224">
        <v>0.29552683899999999</v>
      </c>
      <c r="P224">
        <f t="shared" si="14"/>
        <v>-1.0005963372081674</v>
      </c>
      <c r="Q224">
        <f t="shared" si="15"/>
        <v>0.26882419051520967</v>
      </c>
      <c r="R224">
        <f>+AVERAGE(O224,H224)</f>
        <v>0.32139642400000001</v>
      </c>
      <c r="S224">
        <f>+AVERAGE(E224,L224)</f>
        <v>-5.7712493500000003E-2</v>
      </c>
      <c r="T224">
        <f>+AVERAGE(G224,N224)</f>
        <v>-0.74988458800000002</v>
      </c>
      <c r="U224">
        <v>0.99997318300000004</v>
      </c>
      <c r="V224" s="1">
        <v>3.9999999999999998E-29</v>
      </c>
      <c r="W224" s="1">
        <v>2.6800000000000001E-5</v>
      </c>
      <c r="X224" s="1">
        <v>1.24E-15</v>
      </c>
    </row>
    <row r="225" spans="1:24" x14ac:dyDescent="0.25">
      <c r="A225" t="s">
        <v>396</v>
      </c>
      <c r="B225" t="s">
        <v>17</v>
      </c>
      <c r="C225" t="s">
        <v>265</v>
      </c>
      <c r="D225">
        <v>-0.57457681100000002</v>
      </c>
      <c r="E225">
        <v>7.9631803000000001E-2</v>
      </c>
      <c r="F225">
        <v>6.8561155351637995E-2</v>
      </c>
      <c r="G225">
        <v>-0.49494500899999999</v>
      </c>
      <c r="H225">
        <v>0.37872934400000002</v>
      </c>
      <c r="I225">
        <f t="shared" si="12"/>
        <v>-0.42638385264836204</v>
      </c>
      <c r="J225">
        <f t="shared" si="13"/>
        <v>0.39499016394654279</v>
      </c>
      <c r="K225">
        <v>-0.80976737799999998</v>
      </c>
      <c r="L225">
        <v>0.17841332300000001</v>
      </c>
      <c r="M225">
        <v>-0.32903365650294131</v>
      </c>
      <c r="N225">
        <v>-0.63135405499999997</v>
      </c>
      <c r="O225">
        <v>0.34720357299999999</v>
      </c>
      <c r="P225">
        <f t="shared" si="14"/>
        <v>-0.96038771150294133</v>
      </c>
      <c r="Q225">
        <f t="shared" si="15"/>
        <v>0.2768005752890188</v>
      </c>
      <c r="R225">
        <f>+AVERAGE(O225,H225)</f>
        <v>0.36296645849999998</v>
      </c>
      <c r="S225">
        <f>+AVERAGE(E225,L225)</f>
        <v>0.12902256300000001</v>
      </c>
      <c r="T225">
        <f>+AVERAGE(G225,N225)</f>
        <v>-0.56314953199999995</v>
      </c>
      <c r="U225">
        <v>0.99689528699999996</v>
      </c>
      <c r="V225" s="1">
        <v>5.3200000000000003E-30</v>
      </c>
      <c r="W225">
        <v>3.1047129999999998E-3</v>
      </c>
      <c r="X225" s="1">
        <v>9.9100000000000005E-15</v>
      </c>
    </row>
    <row r="226" spans="1:24" x14ac:dyDescent="0.25">
      <c r="A226" t="s">
        <v>396</v>
      </c>
      <c r="B226" t="s">
        <v>16</v>
      </c>
      <c r="C226" t="s">
        <v>266</v>
      </c>
      <c r="D226">
        <v>-0.57457681100000002</v>
      </c>
      <c r="E226">
        <v>0.12953574200000001</v>
      </c>
      <c r="F226">
        <v>-0.79503465290812969</v>
      </c>
      <c r="G226">
        <v>-0.44504106900000001</v>
      </c>
      <c r="H226">
        <v>0.39054044100000002</v>
      </c>
      <c r="I226">
        <f t="shared" si="12"/>
        <v>-1.2400757219081298</v>
      </c>
      <c r="J226">
        <f t="shared" si="13"/>
        <v>0.22442280551184249</v>
      </c>
      <c r="K226">
        <v>-0.80976737799999998</v>
      </c>
      <c r="L226">
        <v>0.45172387899999999</v>
      </c>
      <c r="M226">
        <v>-0.92641011837371778</v>
      </c>
      <c r="N226">
        <v>-0.35804349899999999</v>
      </c>
      <c r="O226">
        <v>0.41143326200000002</v>
      </c>
      <c r="P226">
        <f t="shared" si="14"/>
        <v>-1.2844536173737178</v>
      </c>
      <c r="Q226">
        <f t="shared" si="15"/>
        <v>0.21679307305766293</v>
      </c>
      <c r="R226">
        <f>+AVERAGE(O226,H226)</f>
        <v>0.40098685150000002</v>
      </c>
      <c r="S226">
        <f>+AVERAGE(E226,L226)</f>
        <v>0.29062981050000003</v>
      </c>
      <c r="T226">
        <f>+AVERAGE(G226,N226)</f>
        <v>-0.40154228400000003</v>
      </c>
      <c r="U226">
        <v>0.99994284099999997</v>
      </c>
      <c r="V226" s="1">
        <v>2.8700000000000001E-30</v>
      </c>
      <c r="W226" s="1">
        <v>5.7200000000000001E-5</v>
      </c>
      <c r="X226" s="1">
        <v>1.8099999999999998E-15</v>
      </c>
    </row>
    <row r="227" spans="1:24" x14ac:dyDescent="0.25">
      <c r="A227" t="s">
        <v>396</v>
      </c>
      <c r="B227" t="s">
        <v>20</v>
      </c>
      <c r="C227" t="s">
        <v>267</v>
      </c>
      <c r="D227">
        <v>-0.57457681100000002</v>
      </c>
      <c r="E227">
        <v>0.127749261</v>
      </c>
      <c r="F227">
        <v>-7.2208879421957153E-2</v>
      </c>
      <c r="G227">
        <v>-0.44682755000000002</v>
      </c>
      <c r="H227">
        <v>0.39011530900000002</v>
      </c>
      <c r="I227">
        <f t="shared" si="12"/>
        <v>-0.51903642942195716</v>
      </c>
      <c r="J227">
        <f t="shared" si="13"/>
        <v>0.37307757630567778</v>
      </c>
      <c r="K227">
        <v>-0.80976737799999998</v>
      </c>
      <c r="L227">
        <v>9.7959934999999998E-2</v>
      </c>
      <c r="M227">
        <v>-0.15262980225704867</v>
      </c>
      <c r="N227">
        <v>-0.71180744299999998</v>
      </c>
      <c r="O227">
        <v>0.32919958399999999</v>
      </c>
      <c r="P227">
        <f t="shared" si="14"/>
        <v>-0.86443724525704868</v>
      </c>
      <c r="Q227">
        <f t="shared" si="15"/>
        <v>0.29641311239290358</v>
      </c>
      <c r="R227">
        <f>+AVERAGE(O227,H227)</f>
        <v>0.35965744649999998</v>
      </c>
      <c r="S227">
        <f>+AVERAGE(E227,L227)</f>
        <v>0.112854598</v>
      </c>
      <c r="T227">
        <f>+AVERAGE(G227,N227)</f>
        <v>-0.57931749649999997</v>
      </c>
      <c r="U227">
        <v>0.99989451900000004</v>
      </c>
      <c r="V227" s="1">
        <v>1.3600000000000001E-29</v>
      </c>
      <c r="W227">
        <v>1.05481E-4</v>
      </c>
      <c r="X227" s="1">
        <v>1.3599999999999999E-16</v>
      </c>
    </row>
    <row r="228" spans="1:24" x14ac:dyDescent="0.25">
      <c r="A228" t="s">
        <v>396</v>
      </c>
      <c r="B228" t="s">
        <v>17</v>
      </c>
      <c r="C228" t="s">
        <v>268</v>
      </c>
      <c r="D228">
        <v>-0.57457681100000002</v>
      </c>
      <c r="E228">
        <v>8.7570620000000002E-2</v>
      </c>
      <c r="F228">
        <v>6.8561155351637995E-2</v>
      </c>
      <c r="G228">
        <v>-0.487006192</v>
      </c>
      <c r="H228">
        <v>0.38059908599999998</v>
      </c>
      <c r="I228">
        <f t="shared" si="12"/>
        <v>-0.41844503564836205</v>
      </c>
      <c r="J228">
        <f t="shared" si="13"/>
        <v>0.39688889925592324</v>
      </c>
      <c r="K228">
        <v>-0.80976737799999998</v>
      </c>
      <c r="L228">
        <v>-0.201910221</v>
      </c>
      <c r="M228">
        <v>-0.32903365650294131</v>
      </c>
      <c r="N228">
        <v>-1.011677599</v>
      </c>
      <c r="O228">
        <v>0.26665167000000001</v>
      </c>
      <c r="P228">
        <f t="shared" si="14"/>
        <v>-1.3407112555029412</v>
      </c>
      <c r="Q228">
        <f t="shared" si="15"/>
        <v>0.20739311718522344</v>
      </c>
      <c r="R228">
        <f>+AVERAGE(O228,H228)</f>
        <v>0.32362537800000002</v>
      </c>
      <c r="S228">
        <f>+AVERAGE(E228,L228)</f>
        <v>-5.71698005E-2</v>
      </c>
      <c r="T228">
        <f>+AVERAGE(G228,N228)</f>
        <v>-0.74934189549999997</v>
      </c>
      <c r="U228">
        <v>0.99974340900000003</v>
      </c>
      <c r="V228" s="1">
        <v>7.5500000000000003E-24</v>
      </c>
      <c r="W228">
        <v>2.5659100000000002E-4</v>
      </c>
      <c r="X228" s="1">
        <v>1.0499999999999999E-15</v>
      </c>
    </row>
    <row r="229" spans="1:24" x14ac:dyDescent="0.25">
      <c r="A229" t="s">
        <v>396</v>
      </c>
      <c r="B229" t="s">
        <v>25</v>
      </c>
      <c r="C229" t="s">
        <v>269</v>
      </c>
      <c r="D229">
        <v>-0.57457681100000002</v>
      </c>
      <c r="E229">
        <v>-0.24482037500000001</v>
      </c>
      <c r="F229">
        <v>-9.2997517450181935E-2</v>
      </c>
      <c r="G229">
        <v>-0.819397186</v>
      </c>
      <c r="H229">
        <v>0.305891635</v>
      </c>
      <c r="I229">
        <f t="shared" si="12"/>
        <v>-0.91239470345018192</v>
      </c>
      <c r="J229">
        <f t="shared" si="13"/>
        <v>0.2865100569094397</v>
      </c>
      <c r="K229">
        <v>-0.80976737799999998</v>
      </c>
      <c r="L229">
        <v>-0.50300605799999998</v>
      </c>
      <c r="M229">
        <v>-0.11517847013335669</v>
      </c>
      <c r="N229">
        <v>-1.3127734360000001</v>
      </c>
      <c r="O229">
        <v>0.21202311800000001</v>
      </c>
      <c r="P229">
        <f t="shared" si="14"/>
        <v>-1.4279519061333568</v>
      </c>
      <c r="Q229">
        <f t="shared" si="15"/>
        <v>0.1934180015787961</v>
      </c>
      <c r="R229">
        <f>+AVERAGE(O229,H229)</f>
        <v>0.2589573765</v>
      </c>
      <c r="S229">
        <f>+AVERAGE(E229,L229)</f>
        <v>-0.37391321649999998</v>
      </c>
      <c r="T229">
        <f>+AVERAGE(G229,N229)</f>
        <v>-1.0660853110000001</v>
      </c>
      <c r="U229">
        <v>0.99965460100000003</v>
      </c>
      <c r="V229" s="1">
        <v>1.29E-27</v>
      </c>
      <c r="W229">
        <v>3.4539899999999998E-4</v>
      </c>
      <c r="X229" s="1">
        <v>8.92E-17</v>
      </c>
    </row>
    <row r="230" spans="1:24" x14ac:dyDescent="0.25">
      <c r="A230" t="s">
        <v>396</v>
      </c>
      <c r="B230" t="s">
        <v>18</v>
      </c>
      <c r="C230" t="s">
        <v>270</v>
      </c>
      <c r="D230">
        <v>-0.57457681100000002</v>
      </c>
      <c r="E230">
        <v>0.294516098</v>
      </c>
      <c r="F230">
        <v>-0.27945122320506655</v>
      </c>
      <c r="G230">
        <v>-0.28006071300000002</v>
      </c>
      <c r="H230">
        <v>0.43043889200000002</v>
      </c>
      <c r="I230">
        <f t="shared" si="12"/>
        <v>-0.55951193620506656</v>
      </c>
      <c r="J230">
        <f t="shared" si="13"/>
        <v>0.36366039578204734</v>
      </c>
      <c r="K230">
        <v>-0.80976737799999998</v>
      </c>
      <c r="L230">
        <v>0.27283996199999999</v>
      </c>
      <c r="M230">
        <v>-0.27877632987391054</v>
      </c>
      <c r="N230">
        <v>-0.53692741600000005</v>
      </c>
      <c r="O230">
        <v>0.36890263299999998</v>
      </c>
      <c r="P230">
        <f t="shared" si="14"/>
        <v>-0.81570374587391048</v>
      </c>
      <c r="Q230">
        <f t="shared" si="15"/>
        <v>0.30667639566062882</v>
      </c>
      <c r="R230">
        <f>+AVERAGE(O230,H230)</f>
        <v>0.3996707625</v>
      </c>
      <c r="S230">
        <f>+AVERAGE(E230,L230)</f>
        <v>0.28367803000000003</v>
      </c>
      <c r="T230">
        <f>+AVERAGE(G230,N230)</f>
        <v>-0.40849406450000003</v>
      </c>
      <c r="U230">
        <v>0.99611760800000004</v>
      </c>
      <c r="V230" s="1">
        <v>3.3600000000000003E-29</v>
      </c>
      <c r="W230">
        <v>3.8823920000000001E-3</v>
      </c>
      <c r="X230" s="1">
        <v>3.9599999999999999E-17</v>
      </c>
    </row>
    <row r="231" spans="1:24" x14ac:dyDescent="0.25">
      <c r="A231" t="s">
        <v>396</v>
      </c>
      <c r="B231" t="s">
        <v>16</v>
      </c>
      <c r="C231" t="s">
        <v>271</v>
      </c>
      <c r="D231">
        <v>-0.57457681100000002</v>
      </c>
      <c r="E231">
        <v>0.368992496</v>
      </c>
      <c r="F231">
        <v>-0.79503465290812969</v>
      </c>
      <c r="G231">
        <v>-0.20558431499999999</v>
      </c>
      <c r="H231">
        <v>0.44878417999999998</v>
      </c>
      <c r="I231">
        <f t="shared" si="12"/>
        <v>-1.0006189679081297</v>
      </c>
      <c r="J231">
        <f t="shared" si="13"/>
        <v>0.26881974229912664</v>
      </c>
      <c r="K231">
        <v>-0.80976737799999998</v>
      </c>
      <c r="L231">
        <v>0.82375412800000003</v>
      </c>
      <c r="M231">
        <v>-0.92641011837371778</v>
      </c>
      <c r="N231">
        <v>1.3986751E-2</v>
      </c>
      <c r="O231">
        <v>0.50349663099999997</v>
      </c>
      <c r="P231">
        <f t="shared" si="14"/>
        <v>-0.91242336837371774</v>
      </c>
      <c r="Q231">
        <f t="shared" si="15"/>
        <v>0.28650419720303361</v>
      </c>
      <c r="R231">
        <f>+AVERAGE(O231,H231)</f>
        <v>0.47614040549999997</v>
      </c>
      <c r="S231">
        <f>+AVERAGE(E231,L231)</f>
        <v>0.59637331199999999</v>
      </c>
      <c r="T231">
        <f>+AVERAGE(G231,N231)</f>
        <v>-9.5798781999999999E-2</v>
      </c>
      <c r="U231">
        <v>0.99342651699999995</v>
      </c>
      <c r="V231" s="1">
        <v>1.9499999999999999E-29</v>
      </c>
      <c r="W231">
        <v>6.5734829999999998E-3</v>
      </c>
      <c r="X231" s="1">
        <v>3.3E-17</v>
      </c>
    </row>
    <row r="232" spans="1:24" x14ac:dyDescent="0.25">
      <c r="A232" t="s">
        <v>396</v>
      </c>
      <c r="B232" t="s">
        <v>16</v>
      </c>
      <c r="C232" t="s">
        <v>272</v>
      </c>
      <c r="D232">
        <v>-0.57457681100000002</v>
      </c>
      <c r="E232">
        <v>-0.37578346200000001</v>
      </c>
      <c r="F232">
        <v>-0.79503465290812969</v>
      </c>
      <c r="G232">
        <v>-0.95036027300000003</v>
      </c>
      <c r="H232">
        <v>0.27881237399999997</v>
      </c>
      <c r="I232">
        <f t="shared" si="12"/>
        <v>-1.7453949259081298</v>
      </c>
      <c r="J232">
        <f t="shared" si="13"/>
        <v>0.14862897435556807</v>
      </c>
      <c r="K232">
        <v>-0.80976737799999998</v>
      </c>
      <c r="L232">
        <v>-0.52636289199999997</v>
      </c>
      <c r="M232">
        <v>-0.92641011837371778</v>
      </c>
      <c r="N232">
        <v>-1.33613027</v>
      </c>
      <c r="O232">
        <v>0.208147155</v>
      </c>
      <c r="P232">
        <f t="shared" si="14"/>
        <v>-2.2625403883737176</v>
      </c>
      <c r="Q232">
        <f t="shared" si="15"/>
        <v>9.4273232195398779E-2</v>
      </c>
      <c r="R232">
        <f>+AVERAGE(O232,H232)</f>
        <v>0.24347976449999997</v>
      </c>
      <c r="S232">
        <f>+AVERAGE(E232,L232)</f>
        <v>-0.45107317699999999</v>
      </c>
      <c r="T232">
        <f>+AVERAGE(G232,N232)</f>
        <v>-1.1432452715000001</v>
      </c>
      <c r="U232">
        <v>0.99889517999999999</v>
      </c>
      <c r="V232" s="1">
        <v>5.56E-30</v>
      </c>
      <c r="W232">
        <v>1.1048200000000001E-3</v>
      </c>
      <c r="X232" s="1">
        <v>1.1200000000000001E-15</v>
      </c>
    </row>
    <row r="233" spans="1:24" x14ac:dyDescent="0.25">
      <c r="A233" t="s">
        <v>396</v>
      </c>
      <c r="B233" t="s">
        <v>16</v>
      </c>
      <c r="C233" t="s">
        <v>273</v>
      </c>
      <c r="D233">
        <v>-0.57457681100000002</v>
      </c>
      <c r="E233">
        <v>8.4522869999999993E-3</v>
      </c>
      <c r="F233">
        <v>-0.79503465290812969</v>
      </c>
      <c r="G233">
        <v>-0.56612452400000002</v>
      </c>
      <c r="H233">
        <v>0.362131551</v>
      </c>
      <c r="I233">
        <f t="shared" si="12"/>
        <v>-1.3611591769081297</v>
      </c>
      <c r="J233">
        <f t="shared" si="13"/>
        <v>0.20405197025311633</v>
      </c>
      <c r="K233">
        <v>-0.80976737799999998</v>
      </c>
      <c r="L233">
        <v>5.1325219999999998E-2</v>
      </c>
      <c r="M233">
        <v>-0.92641011837371778</v>
      </c>
      <c r="N233">
        <v>-0.75844215800000003</v>
      </c>
      <c r="O233">
        <v>0.31898458600000001</v>
      </c>
      <c r="P233">
        <f t="shared" si="14"/>
        <v>-1.6848522763737179</v>
      </c>
      <c r="Q233">
        <f t="shared" si="15"/>
        <v>0.15645401606682174</v>
      </c>
      <c r="R233">
        <f>+AVERAGE(O233,H233)</f>
        <v>0.34055806850000003</v>
      </c>
      <c r="S233">
        <f>+AVERAGE(E233,L233)</f>
        <v>2.9888753499999997E-2</v>
      </c>
      <c r="T233">
        <f>+AVERAGE(G233,N233)</f>
        <v>-0.66228334099999997</v>
      </c>
      <c r="U233">
        <v>0.99977724899999998</v>
      </c>
      <c r="V233" s="1">
        <v>1.49E-30</v>
      </c>
      <c r="W233">
        <v>2.2275100000000001E-4</v>
      </c>
      <c r="X233" s="1">
        <v>6.4500000000000003E-15</v>
      </c>
    </row>
    <row r="234" spans="1:24" x14ac:dyDescent="0.25">
      <c r="A234" t="s">
        <v>396</v>
      </c>
      <c r="B234" t="s">
        <v>18</v>
      </c>
      <c r="C234" t="s">
        <v>274</v>
      </c>
      <c r="D234">
        <v>-0.57457681100000002</v>
      </c>
      <c r="E234">
        <v>8.5471693000000001E-2</v>
      </c>
      <c r="F234">
        <v>-0.27945122320506655</v>
      </c>
      <c r="G234">
        <v>-0.48910511800000001</v>
      </c>
      <c r="H234">
        <v>0.38010440200000001</v>
      </c>
      <c r="I234">
        <f t="shared" si="12"/>
        <v>-0.76855634120506655</v>
      </c>
      <c r="J234">
        <f t="shared" si="13"/>
        <v>0.31679148135884194</v>
      </c>
      <c r="K234">
        <v>-0.80976737799999998</v>
      </c>
      <c r="L234">
        <v>0.27283996199999999</v>
      </c>
      <c r="M234">
        <v>-0.27877632987391054</v>
      </c>
      <c r="N234">
        <v>-0.53692741600000005</v>
      </c>
      <c r="O234">
        <v>0.36890263299999998</v>
      </c>
      <c r="P234">
        <f t="shared" si="14"/>
        <v>-0.81570374587391048</v>
      </c>
      <c r="Q234">
        <f t="shared" si="15"/>
        <v>0.30667639566062882</v>
      </c>
      <c r="R234">
        <f>+AVERAGE(O234,H234)</f>
        <v>0.37450351749999999</v>
      </c>
      <c r="S234">
        <f>+AVERAGE(E234,L234)</f>
        <v>0.1791558275</v>
      </c>
      <c r="T234">
        <f>+AVERAGE(G234,N234)</f>
        <v>-0.51301626700000003</v>
      </c>
      <c r="U234">
        <v>0.99996949499999999</v>
      </c>
      <c r="V234" s="1">
        <v>5.9800000000000004E-32</v>
      </c>
      <c r="W234" s="1">
        <v>3.0499999999999999E-5</v>
      </c>
      <c r="X234" s="1">
        <v>7.0799999999999999E-15</v>
      </c>
    </row>
    <row r="235" spans="1:24" x14ac:dyDescent="0.25">
      <c r="A235" t="s">
        <v>396</v>
      </c>
      <c r="B235" t="s">
        <v>26</v>
      </c>
      <c r="C235" t="s">
        <v>275</v>
      </c>
      <c r="D235">
        <v>-0.57457681100000002</v>
      </c>
      <c r="E235">
        <v>-0.17801647600000001</v>
      </c>
      <c r="F235">
        <v>0</v>
      </c>
      <c r="G235">
        <v>-0.75259328800000003</v>
      </c>
      <c r="H235">
        <v>0.32025649899999997</v>
      </c>
      <c r="I235">
        <f t="shared" si="12"/>
        <v>-0.75259328700000006</v>
      </c>
      <c r="J235">
        <f t="shared" si="13"/>
        <v>0.32025649932812505</v>
      </c>
      <c r="K235">
        <v>-0.80976737799999998</v>
      </c>
      <c r="L235">
        <v>-0.31617655099999997</v>
      </c>
      <c r="M235">
        <v>0</v>
      </c>
      <c r="N235">
        <v>-1.125943929</v>
      </c>
      <c r="O235">
        <v>0.24491041099999999</v>
      </c>
      <c r="P235">
        <f t="shared" si="14"/>
        <v>-1.125943929</v>
      </c>
      <c r="Q235">
        <f t="shared" si="15"/>
        <v>0.24491041097279831</v>
      </c>
      <c r="R235">
        <f>+AVERAGE(O235,H235)</f>
        <v>0.28258345499999998</v>
      </c>
      <c r="S235">
        <f>+AVERAGE(E235,L235)</f>
        <v>-0.2470965135</v>
      </c>
      <c r="T235">
        <f>+AVERAGE(G235,N235)</f>
        <v>-0.93926860849999994</v>
      </c>
      <c r="U235">
        <v>0.99608740399999995</v>
      </c>
      <c r="V235" s="1">
        <v>3.26E-24</v>
      </c>
      <c r="W235">
        <v>3.912596E-3</v>
      </c>
      <c r="X235" s="1">
        <v>4.6900000000000002E-17</v>
      </c>
    </row>
    <row r="236" spans="1:24" x14ac:dyDescent="0.25">
      <c r="A236" t="s">
        <v>396</v>
      </c>
      <c r="B236" t="s">
        <v>17</v>
      </c>
      <c r="C236" t="s">
        <v>276</v>
      </c>
      <c r="D236">
        <v>-0.57457681100000002</v>
      </c>
      <c r="E236">
        <v>3.0920420000000001E-3</v>
      </c>
      <c r="F236">
        <v>6.8561155351637995E-2</v>
      </c>
      <c r="G236">
        <v>-0.57148476999999998</v>
      </c>
      <c r="H236">
        <v>0.36089429299999998</v>
      </c>
      <c r="I236">
        <f t="shared" si="12"/>
        <v>-0.50292361364836202</v>
      </c>
      <c r="J236">
        <f t="shared" si="13"/>
        <v>0.37685385512257252</v>
      </c>
      <c r="K236">
        <v>-0.80976737799999998</v>
      </c>
      <c r="L236">
        <v>0.38201919200000001</v>
      </c>
      <c r="M236">
        <v>-0.32903365650294131</v>
      </c>
      <c r="N236">
        <v>-0.42774818599999997</v>
      </c>
      <c r="O236">
        <v>0.39466417199999998</v>
      </c>
      <c r="P236">
        <f t="shared" si="14"/>
        <v>-0.75678184250294134</v>
      </c>
      <c r="Q236">
        <f t="shared" si="15"/>
        <v>0.3193453704457449</v>
      </c>
      <c r="R236">
        <f>+AVERAGE(O236,H236)</f>
        <v>0.37777923250000001</v>
      </c>
      <c r="S236">
        <f>+AVERAGE(E236,L236)</f>
        <v>0.19255561700000001</v>
      </c>
      <c r="T236">
        <f>+AVERAGE(G236,N236)</f>
        <v>-0.49961647799999997</v>
      </c>
      <c r="U236">
        <v>0.99695645200000005</v>
      </c>
      <c r="V236" s="1">
        <v>1.7E-33</v>
      </c>
      <c r="W236">
        <v>3.0435480000000001E-3</v>
      </c>
      <c r="X236" s="1">
        <v>3.5099999999999997E-14</v>
      </c>
    </row>
    <row r="237" spans="1:24" x14ac:dyDescent="0.25">
      <c r="A237" t="s">
        <v>396</v>
      </c>
      <c r="B237" t="s">
        <v>25</v>
      </c>
      <c r="C237" t="s">
        <v>277</v>
      </c>
      <c r="D237">
        <v>-0.57457681100000002</v>
      </c>
      <c r="E237">
        <v>0.24059781999999999</v>
      </c>
      <c r="F237">
        <v>-9.2997517450181935E-2</v>
      </c>
      <c r="G237">
        <v>-0.333978991</v>
      </c>
      <c r="H237">
        <v>0.41727278899999998</v>
      </c>
      <c r="I237">
        <f t="shared" si="12"/>
        <v>-0.42697650845018198</v>
      </c>
      <c r="J237">
        <f t="shared" si="13"/>
        <v>0.39484854406834724</v>
      </c>
      <c r="K237">
        <v>-0.80976737799999998</v>
      </c>
      <c r="L237">
        <v>0.57099922400000003</v>
      </c>
      <c r="M237">
        <v>-0.11517847013335669</v>
      </c>
      <c r="N237">
        <v>-0.23876815400000001</v>
      </c>
      <c r="O237">
        <v>0.44058994200000001</v>
      </c>
      <c r="P237">
        <f t="shared" si="14"/>
        <v>-0.35394662413335665</v>
      </c>
      <c r="Q237">
        <f t="shared" si="15"/>
        <v>0.41242570330413336</v>
      </c>
      <c r="R237">
        <f>+AVERAGE(O237,H237)</f>
        <v>0.42893136549999999</v>
      </c>
      <c r="S237">
        <f>+AVERAGE(E237,L237)</f>
        <v>0.40579852199999999</v>
      </c>
      <c r="T237">
        <f>+AVERAGE(G237,N237)</f>
        <v>-0.28637357250000001</v>
      </c>
      <c r="U237">
        <v>0.974142485</v>
      </c>
      <c r="V237" s="1">
        <v>8.6100000000000007E-28</v>
      </c>
      <c r="W237">
        <v>2.5857515000000001E-2</v>
      </c>
      <c r="X237" s="1">
        <v>1.9300000000000001E-16</v>
      </c>
    </row>
    <row r="238" spans="1:24" x14ac:dyDescent="0.25">
      <c r="A238" t="s">
        <v>396</v>
      </c>
      <c r="B238" t="s">
        <v>17</v>
      </c>
      <c r="C238" t="s">
        <v>278</v>
      </c>
      <c r="D238">
        <v>-0.57457681100000002</v>
      </c>
      <c r="E238">
        <v>-0.236046859</v>
      </c>
      <c r="F238">
        <v>6.8561155351637995E-2</v>
      </c>
      <c r="G238">
        <v>-0.81062367099999999</v>
      </c>
      <c r="H238">
        <v>0.30775761099999999</v>
      </c>
      <c r="I238">
        <f t="shared" si="12"/>
        <v>-0.74206251464836204</v>
      </c>
      <c r="J238">
        <f t="shared" si="13"/>
        <v>0.32255329334107763</v>
      </c>
      <c r="K238">
        <v>-0.80976737799999998</v>
      </c>
      <c r="L238">
        <v>-0.201910221</v>
      </c>
      <c r="M238">
        <v>-0.32903365650294131</v>
      </c>
      <c r="N238">
        <v>-1.011677599</v>
      </c>
      <c r="O238">
        <v>0.26665167000000001</v>
      </c>
      <c r="P238">
        <f t="shared" si="14"/>
        <v>-1.3407112555029412</v>
      </c>
      <c r="Q238">
        <f t="shared" si="15"/>
        <v>0.20739311718522344</v>
      </c>
      <c r="R238">
        <f>+AVERAGE(O238,H238)</f>
        <v>0.2872046405</v>
      </c>
      <c r="S238">
        <f>+AVERAGE(E238,L238)</f>
        <v>-0.21897854</v>
      </c>
      <c r="T238">
        <f>+AVERAGE(G238,N238)</f>
        <v>-0.91115063500000004</v>
      </c>
      <c r="U238">
        <v>0.99975845600000002</v>
      </c>
      <c r="V238" s="1">
        <v>1.6500000000000001E-29</v>
      </c>
      <c r="W238">
        <v>2.41544E-4</v>
      </c>
      <c r="X238" s="1">
        <v>5.4300000000000005E-16</v>
      </c>
    </row>
    <row r="239" spans="1:24" x14ac:dyDescent="0.25">
      <c r="A239" t="s">
        <v>396</v>
      </c>
      <c r="B239" t="s">
        <v>19</v>
      </c>
      <c r="C239" t="s">
        <v>279</v>
      </c>
      <c r="D239">
        <v>-0.57457681100000002</v>
      </c>
      <c r="E239">
        <v>-4.8496741000000003E-2</v>
      </c>
      <c r="F239">
        <v>-0.56248729144923193</v>
      </c>
      <c r="G239">
        <v>-0.623073553</v>
      </c>
      <c r="H239">
        <v>0.34908274299999997</v>
      </c>
      <c r="I239">
        <f t="shared" si="12"/>
        <v>-1.185560843449232</v>
      </c>
      <c r="J239">
        <f t="shared" si="13"/>
        <v>0.23405381530566929</v>
      </c>
      <c r="K239">
        <v>-0.80976737799999998</v>
      </c>
      <c r="L239">
        <v>-0.22222572099999999</v>
      </c>
      <c r="M239">
        <v>-0.70414875992547199</v>
      </c>
      <c r="N239">
        <v>-1.0319930989999999</v>
      </c>
      <c r="O239">
        <v>0.26269788300000002</v>
      </c>
      <c r="P239">
        <f t="shared" si="14"/>
        <v>-1.736141858925472</v>
      </c>
      <c r="Q239">
        <f t="shared" si="15"/>
        <v>0.14980365347382874</v>
      </c>
      <c r="R239">
        <f>+AVERAGE(O239,H239)</f>
        <v>0.30589031300000002</v>
      </c>
      <c r="S239">
        <f>+AVERAGE(E239,L239)</f>
        <v>-0.135361231</v>
      </c>
      <c r="T239">
        <f>+AVERAGE(G239,N239)</f>
        <v>-0.82753332599999996</v>
      </c>
      <c r="U239">
        <v>0.99996876599999995</v>
      </c>
      <c r="V239" s="1">
        <v>6.1100000000000002E-27</v>
      </c>
      <c r="W239" s="1">
        <v>3.1199999999999999E-5</v>
      </c>
      <c r="X239" s="1">
        <v>2.2800000000000001E-16</v>
      </c>
    </row>
    <row r="240" spans="1:24" x14ac:dyDescent="0.25">
      <c r="A240" t="s">
        <v>396</v>
      </c>
      <c r="B240" t="s">
        <v>26</v>
      </c>
      <c r="C240" t="s">
        <v>280</v>
      </c>
      <c r="D240">
        <v>-0.57457681100000002</v>
      </c>
      <c r="E240">
        <v>-0.53444989200000004</v>
      </c>
      <c r="F240">
        <v>0</v>
      </c>
      <c r="G240">
        <v>-1.1090267030000001</v>
      </c>
      <c r="H240">
        <v>0.24805238600000001</v>
      </c>
      <c r="I240">
        <f t="shared" si="12"/>
        <v>-1.1090267030000001</v>
      </c>
      <c r="J240">
        <f t="shared" si="13"/>
        <v>0.2480523857314178</v>
      </c>
      <c r="K240">
        <v>-0.80976737799999998</v>
      </c>
      <c r="L240">
        <v>-0.72911844400000003</v>
      </c>
      <c r="M240">
        <v>0</v>
      </c>
      <c r="N240">
        <v>-1.538885821</v>
      </c>
      <c r="O240">
        <v>0.176697302</v>
      </c>
      <c r="P240">
        <f t="shared" si="14"/>
        <v>-1.5388858220000001</v>
      </c>
      <c r="Q240">
        <f t="shared" si="15"/>
        <v>0.17669730184912533</v>
      </c>
      <c r="R240">
        <f>+AVERAGE(O240,H240)</f>
        <v>0.21237484400000001</v>
      </c>
      <c r="S240">
        <f>+AVERAGE(E240,L240)</f>
        <v>-0.63178416800000003</v>
      </c>
      <c r="T240">
        <f>+AVERAGE(G240,N240)</f>
        <v>-1.3239562620000001</v>
      </c>
      <c r="U240">
        <v>0.99995395200000003</v>
      </c>
      <c r="V240" s="1">
        <v>3.5699999999999998E-28</v>
      </c>
      <c r="W240" s="1">
        <v>4.6E-5</v>
      </c>
      <c r="X240" s="1">
        <v>1.7E-16</v>
      </c>
    </row>
    <row r="241" spans="1:24" x14ac:dyDescent="0.25">
      <c r="A241" t="s">
        <v>396</v>
      </c>
      <c r="B241" t="s">
        <v>24</v>
      </c>
      <c r="C241" t="s">
        <v>281</v>
      </c>
      <c r="D241">
        <v>-0.57457681100000002</v>
      </c>
      <c r="E241">
        <v>5.8462840000000002E-2</v>
      </c>
      <c r="F241">
        <v>-4.6370389673564522E-2</v>
      </c>
      <c r="G241">
        <v>-0.516113971</v>
      </c>
      <c r="H241">
        <v>0.37376136500000001</v>
      </c>
      <c r="I241">
        <f t="shared" si="12"/>
        <v>-0.56248436067356455</v>
      </c>
      <c r="J241">
        <f t="shared" si="13"/>
        <v>0.36297282169248285</v>
      </c>
      <c r="K241">
        <v>-0.80976737799999998</v>
      </c>
      <c r="L241">
        <v>0.14747015099999999</v>
      </c>
      <c r="M241">
        <v>-0.13190576120816735</v>
      </c>
      <c r="N241">
        <v>-0.66229722700000004</v>
      </c>
      <c r="O241">
        <v>0.34022375999999999</v>
      </c>
      <c r="P241">
        <f t="shared" si="14"/>
        <v>-0.79420298820816737</v>
      </c>
      <c r="Q241">
        <f t="shared" si="15"/>
        <v>0.31126691956413088</v>
      </c>
      <c r="R241">
        <f>+AVERAGE(O241,H241)</f>
        <v>0.3569925625</v>
      </c>
      <c r="S241">
        <f>+AVERAGE(E241,L241)</f>
        <v>0.1029664955</v>
      </c>
      <c r="T241">
        <f>+AVERAGE(G241,N241)</f>
        <v>-0.58920559900000002</v>
      </c>
      <c r="U241">
        <v>0.99973785699999995</v>
      </c>
      <c r="V241" s="1">
        <v>3.91E-27</v>
      </c>
      <c r="W241">
        <v>2.62143E-4</v>
      </c>
      <c r="X241" s="1">
        <v>1.2800000000000001E-15</v>
      </c>
    </row>
    <row r="242" spans="1:24" x14ac:dyDescent="0.25">
      <c r="A242" t="s">
        <v>396</v>
      </c>
      <c r="B242" t="s">
        <v>18</v>
      </c>
      <c r="C242" t="s">
        <v>282</v>
      </c>
      <c r="D242">
        <v>-0.57457681100000002</v>
      </c>
      <c r="E242">
        <v>-8.8708658999999995E-2</v>
      </c>
      <c r="F242">
        <v>-0.27945122320506655</v>
      </c>
      <c r="G242">
        <v>-0.66328547100000002</v>
      </c>
      <c r="H242">
        <v>0.34000196300000002</v>
      </c>
      <c r="I242">
        <f t="shared" si="12"/>
        <v>-0.94273669320506659</v>
      </c>
      <c r="J242">
        <f t="shared" si="13"/>
        <v>0.28034787491799534</v>
      </c>
      <c r="K242">
        <v>-0.80976737799999998</v>
      </c>
      <c r="L242">
        <v>0.30609378300000001</v>
      </c>
      <c r="M242">
        <v>-0.27877632987391054</v>
      </c>
      <c r="N242">
        <v>-0.50367359499999997</v>
      </c>
      <c r="O242">
        <v>0.37667774999999998</v>
      </c>
      <c r="P242">
        <f t="shared" si="14"/>
        <v>-0.78244992487391052</v>
      </c>
      <c r="Q242">
        <f t="shared" si="15"/>
        <v>0.31379211150953756</v>
      </c>
      <c r="R242">
        <f>+AVERAGE(O242,H242)</f>
        <v>0.3583398565</v>
      </c>
      <c r="S242">
        <f>+AVERAGE(E242,L242)</f>
        <v>0.10869256200000001</v>
      </c>
      <c r="T242">
        <f>+AVERAGE(G242,N242)</f>
        <v>-0.58347953299999999</v>
      </c>
      <c r="U242">
        <v>0.99999863200000005</v>
      </c>
      <c r="V242" s="1">
        <v>8.4900000000000004E-28</v>
      </c>
      <c r="W242" s="1">
        <v>1.37E-6</v>
      </c>
      <c r="X242" s="1">
        <v>2.9400000000000001E-17</v>
      </c>
    </row>
    <row r="243" spans="1:24" x14ac:dyDescent="0.25">
      <c r="A243" t="s">
        <v>396</v>
      </c>
      <c r="B243" t="s">
        <v>21</v>
      </c>
      <c r="C243" t="s">
        <v>283</v>
      </c>
      <c r="D243">
        <v>-0.57457681100000002</v>
      </c>
      <c r="E243">
        <v>0.158808586</v>
      </c>
      <c r="F243">
        <v>9.5030818057487976E-3</v>
      </c>
      <c r="G243">
        <v>-0.41576822499999999</v>
      </c>
      <c r="H243">
        <v>0.39752981900000001</v>
      </c>
      <c r="I243">
        <f t="shared" si="12"/>
        <v>-0.40626514319425122</v>
      </c>
      <c r="J243">
        <f t="shared" si="13"/>
        <v>0.39980800694969731</v>
      </c>
      <c r="K243">
        <v>-0.80976737799999998</v>
      </c>
      <c r="L243">
        <v>0.36520467000000001</v>
      </c>
      <c r="M243">
        <v>-1.6947105307120725E-2</v>
      </c>
      <c r="N243">
        <v>-0.44456270799999997</v>
      </c>
      <c r="O243">
        <v>0.39065430600000001</v>
      </c>
      <c r="P243">
        <f t="shared" si="14"/>
        <v>-0.46150981330712071</v>
      </c>
      <c r="Q243">
        <f t="shared" si="15"/>
        <v>0.38662771534964951</v>
      </c>
      <c r="R243">
        <f>+AVERAGE(O243,H243)</f>
        <v>0.39409206250000001</v>
      </c>
      <c r="S243">
        <f>+AVERAGE(E243,L243)</f>
        <v>0.26200662800000002</v>
      </c>
      <c r="T243">
        <f>+AVERAGE(G243,N243)</f>
        <v>-0.43016546649999998</v>
      </c>
      <c r="U243">
        <v>0.99938241900000002</v>
      </c>
      <c r="V243" s="1">
        <v>8.9199999999999997E-27</v>
      </c>
      <c r="W243">
        <v>6.1758099999999997E-4</v>
      </c>
      <c r="X243" s="1">
        <v>2.21E-15</v>
      </c>
    </row>
    <row r="244" spans="1:24" x14ac:dyDescent="0.25">
      <c r="A244" t="s">
        <v>396</v>
      </c>
      <c r="B244" t="s">
        <v>16</v>
      </c>
      <c r="C244" t="s">
        <v>284</v>
      </c>
      <c r="D244">
        <v>-0.57457681100000002</v>
      </c>
      <c r="E244">
        <v>-2.9392411E-2</v>
      </c>
      <c r="F244">
        <v>-0.79503465290812969</v>
      </c>
      <c r="G244">
        <v>-0.603969223</v>
      </c>
      <c r="H244">
        <v>0.35343612400000002</v>
      </c>
      <c r="I244">
        <f t="shared" si="12"/>
        <v>-1.3990038749081297</v>
      </c>
      <c r="J244">
        <f t="shared" si="13"/>
        <v>0.19797422903188289</v>
      </c>
      <c r="K244">
        <v>-0.80976737799999998</v>
      </c>
      <c r="L244">
        <v>-0.27238426599999999</v>
      </c>
      <c r="M244">
        <v>-0.92641011837371778</v>
      </c>
      <c r="N244">
        <v>-1.0821516440000001</v>
      </c>
      <c r="O244">
        <v>0.25309905399999999</v>
      </c>
      <c r="P244">
        <f t="shared" si="14"/>
        <v>-2.0085617623737178</v>
      </c>
      <c r="Q244">
        <f t="shared" si="15"/>
        <v>0.11830691860115265</v>
      </c>
      <c r="R244">
        <f>+AVERAGE(O244,H244)</f>
        <v>0.303267589</v>
      </c>
      <c r="S244">
        <f>+AVERAGE(E244,L244)</f>
        <v>-0.1508883385</v>
      </c>
      <c r="T244">
        <f>+AVERAGE(G244,N244)</f>
        <v>-0.84306043350000004</v>
      </c>
      <c r="U244">
        <v>0.99952289900000002</v>
      </c>
      <c r="V244" s="1">
        <v>3.1799999999999999E-28</v>
      </c>
      <c r="W244">
        <v>4.7710100000000001E-4</v>
      </c>
      <c r="X244" s="1">
        <v>6.1999999999999997E-17</v>
      </c>
    </row>
    <row r="245" spans="1:24" x14ac:dyDescent="0.25">
      <c r="A245" t="s">
        <v>396</v>
      </c>
      <c r="B245" t="s">
        <v>26</v>
      </c>
      <c r="C245" t="s">
        <v>285</v>
      </c>
      <c r="D245">
        <v>-0.57457681100000002</v>
      </c>
      <c r="E245">
        <v>-0.172888611</v>
      </c>
      <c r="F245">
        <v>0</v>
      </c>
      <c r="G245">
        <v>-0.74746542299999996</v>
      </c>
      <c r="H245">
        <v>0.321373823</v>
      </c>
      <c r="I245">
        <f t="shared" si="12"/>
        <v>-0.74746542199999999</v>
      </c>
      <c r="J245">
        <f t="shared" si="13"/>
        <v>0.32137382331019981</v>
      </c>
      <c r="K245">
        <v>-0.80976737799999998</v>
      </c>
      <c r="L245">
        <v>-0.35409814299999998</v>
      </c>
      <c r="M245">
        <v>0</v>
      </c>
      <c r="N245">
        <v>-1.163865521</v>
      </c>
      <c r="O245">
        <v>0.23796560999999999</v>
      </c>
      <c r="P245">
        <f t="shared" si="14"/>
        <v>-1.163865521</v>
      </c>
      <c r="Q245">
        <f t="shared" si="15"/>
        <v>0.23796560954107474</v>
      </c>
      <c r="R245">
        <f>+AVERAGE(O245,H245)</f>
        <v>0.2796697165</v>
      </c>
      <c r="S245">
        <f>+AVERAGE(E245,L245)</f>
        <v>-0.26349337699999997</v>
      </c>
      <c r="T245">
        <f>+AVERAGE(G245,N245)</f>
        <v>-0.95566547199999996</v>
      </c>
      <c r="U245">
        <v>0.99862538899999997</v>
      </c>
      <c r="V245" s="1">
        <v>8.1600000000000001E-27</v>
      </c>
      <c r="W245">
        <v>1.374611E-3</v>
      </c>
      <c r="X245" s="1">
        <v>3.09E-17</v>
      </c>
    </row>
    <row r="246" spans="1:24" x14ac:dyDescent="0.25">
      <c r="A246" t="s">
        <v>396</v>
      </c>
      <c r="B246" t="s">
        <v>26</v>
      </c>
      <c r="C246" t="s">
        <v>286</v>
      </c>
      <c r="D246">
        <v>-0.57457681100000002</v>
      </c>
      <c r="E246">
        <v>-0.130374827</v>
      </c>
      <c r="F246">
        <v>0</v>
      </c>
      <c r="G246">
        <v>-0.70495163900000002</v>
      </c>
      <c r="H246">
        <v>0.33071530199999999</v>
      </c>
      <c r="I246">
        <f t="shared" si="12"/>
        <v>-0.70495163800000005</v>
      </c>
      <c r="J246">
        <f t="shared" si="13"/>
        <v>0.3307153017101333</v>
      </c>
      <c r="K246">
        <v>-0.80976737799999998</v>
      </c>
      <c r="L246">
        <v>-0.17019817000000001</v>
      </c>
      <c r="M246">
        <v>0</v>
      </c>
      <c r="N246">
        <v>-0.97996554800000002</v>
      </c>
      <c r="O246">
        <v>0.27289861999999998</v>
      </c>
      <c r="P246">
        <f t="shared" si="14"/>
        <v>-0.97996554800000002</v>
      </c>
      <c r="Q246">
        <f t="shared" si="15"/>
        <v>0.2728986197422118</v>
      </c>
      <c r="R246">
        <f>+AVERAGE(O246,H246)</f>
        <v>0.30180696099999998</v>
      </c>
      <c r="S246">
        <f>+AVERAGE(E246,L246)</f>
        <v>-0.1502864985</v>
      </c>
      <c r="T246">
        <f>+AVERAGE(G246,N246)</f>
        <v>-0.84245859349999996</v>
      </c>
      <c r="U246">
        <v>0.99901398100000005</v>
      </c>
      <c r="V246" s="1">
        <v>2.3800000000000001E-25</v>
      </c>
      <c r="W246">
        <v>9.8601900000000009E-4</v>
      </c>
      <c r="X246" s="1">
        <v>6.9200000000000002E-18</v>
      </c>
    </row>
    <row r="247" spans="1:24" x14ac:dyDescent="0.25">
      <c r="A247" t="s">
        <v>396</v>
      </c>
      <c r="B247" t="s">
        <v>26</v>
      </c>
      <c r="C247" t="s">
        <v>287</v>
      </c>
      <c r="D247">
        <v>-0.57457681100000002</v>
      </c>
      <c r="E247">
        <v>-0.43698161000000002</v>
      </c>
      <c r="F247">
        <v>0</v>
      </c>
      <c r="G247">
        <v>-1.011558422</v>
      </c>
      <c r="H247">
        <v>0.26667497600000001</v>
      </c>
      <c r="I247">
        <f t="shared" si="12"/>
        <v>-1.0115584210000002</v>
      </c>
      <c r="J247">
        <f t="shared" si="13"/>
        <v>0.26667497603728468</v>
      </c>
      <c r="K247">
        <v>-0.80976737799999998</v>
      </c>
      <c r="L247">
        <v>-0.554051136</v>
      </c>
      <c r="M247">
        <v>0</v>
      </c>
      <c r="N247">
        <v>-1.3638185140000001</v>
      </c>
      <c r="O247">
        <v>0.20362039500000001</v>
      </c>
      <c r="P247">
        <f t="shared" si="14"/>
        <v>-1.3638185140000001</v>
      </c>
      <c r="Q247">
        <f t="shared" si="15"/>
        <v>0.20362039456322009</v>
      </c>
      <c r="R247">
        <f>+AVERAGE(O247,H247)</f>
        <v>0.23514768550000001</v>
      </c>
      <c r="S247">
        <f>+AVERAGE(E247,L247)</f>
        <v>-0.49551637300000001</v>
      </c>
      <c r="T247">
        <f>+AVERAGE(G247,N247)</f>
        <v>-1.1876884680000002</v>
      </c>
      <c r="U247">
        <v>0.99977888100000001</v>
      </c>
      <c r="V247" s="1">
        <v>1.4200000000000001E-29</v>
      </c>
      <c r="W247">
        <v>2.2111900000000001E-4</v>
      </c>
      <c r="X247" s="1">
        <v>1.4900000000000001E-16</v>
      </c>
    </row>
    <row r="248" spans="1:24" x14ac:dyDescent="0.25">
      <c r="A248" t="s">
        <v>396</v>
      </c>
      <c r="B248" t="s">
        <v>24</v>
      </c>
      <c r="C248" t="s">
        <v>288</v>
      </c>
      <c r="D248">
        <v>-0.57457681100000002</v>
      </c>
      <c r="E248">
        <v>0.21899706899999999</v>
      </c>
      <c r="F248">
        <v>-4.6370389673564522E-2</v>
      </c>
      <c r="G248">
        <v>-0.35557974199999998</v>
      </c>
      <c r="H248">
        <v>0.41203000499999998</v>
      </c>
      <c r="I248">
        <f t="shared" si="12"/>
        <v>-0.40195013167356453</v>
      </c>
      <c r="J248">
        <f t="shared" si="13"/>
        <v>0.40084389010082655</v>
      </c>
      <c r="K248">
        <v>-0.80976737799999998</v>
      </c>
      <c r="L248">
        <v>0.495205544</v>
      </c>
      <c r="M248">
        <v>-0.13190576120816735</v>
      </c>
      <c r="N248">
        <v>-0.31456183399999998</v>
      </c>
      <c r="O248">
        <v>0.42200163899999998</v>
      </c>
      <c r="P248">
        <f t="shared" si="14"/>
        <v>-0.44646759520816737</v>
      </c>
      <c r="Q248">
        <f t="shared" si="15"/>
        <v>0.39020095443099545</v>
      </c>
      <c r="R248">
        <f>+AVERAGE(O248,H248)</f>
        <v>0.41701582199999998</v>
      </c>
      <c r="S248">
        <f>+AVERAGE(E248,L248)</f>
        <v>0.35710130649999999</v>
      </c>
      <c r="T248">
        <f>+AVERAGE(G248,N248)</f>
        <v>-0.33507078800000001</v>
      </c>
      <c r="U248">
        <v>0.99958385699999996</v>
      </c>
      <c r="V248" s="1">
        <v>8.7299999999999999E-32</v>
      </c>
      <c r="W248">
        <v>4.16143E-4</v>
      </c>
      <c r="X248" s="1">
        <v>3.7000000000000002E-15</v>
      </c>
    </row>
    <row r="249" spans="1:24" x14ac:dyDescent="0.25">
      <c r="A249" t="s">
        <v>396</v>
      </c>
      <c r="B249" t="s">
        <v>20</v>
      </c>
      <c r="C249" t="s">
        <v>289</v>
      </c>
      <c r="D249">
        <v>-0.57457681100000002</v>
      </c>
      <c r="E249">
        <v>-0.41391645599999999</v>
      </c>
      <c r="F249">
        <v>-7.2208879421957153E-2</v>
      </c>
      <c r="G249">
        <v>-0.98849326699999995</v>
      </c>
      <c r="H249">
        <v>0.27120978800000001</v>
      </c>
      <c r="I249">
        <f t="shared" si="12"/>
        <v>-1.060702146421957</v>
      </c>
      <c r="J249">
        <f t="shared" si="13"/>
        <v>0.25717529647048532</v>
      </c>
      <c r="K249">
        <v>-0.80976737799999998</v>
      </c>
      <c r="L249">
        <v>-0.90963293499999998</v>
      </c>
      <c r="M249">
        <v>-0.15262980225704867</v>
      </c>
      <c r="N249">
        <v>-1.719400313</v>
      </c>
      <c r="O249">
        <v>0.151948423</v>
      </c>
      <c r="P249">
        <f t="shared" si="14"/>
        <v>-1.8720301152570487</v>
      </c>
      <c r="Q249">
        <f t="shared" si="15"/>
        <v>0.13330699599135659</v>
      </c>
      <c r="R249">
        <f>+AVERAGE(O249,H249)</f>
        <v>0.2115791055</v>
      </c>
      <c r="S249">
        <f>+AVERAGE(E249,L249)</f>
        <v>-0.66177469550000001</v>
      </c>
      <c r="T249">
        <f>+AVERAGE(G249,N249)</f>
        <v>-1.35394679</v>
      </c>
      <c r="U249">
        <v>0.99985817600000004</v>
      </c>
      <c r="V249" s="1">
        <v>6.5199999999999999E-28</v>
      </c>
      <c r="W249">
        <v>1.41824E-4</v>
      </c>
      <c r="X249" s="1">
        <v>2.5800000000000001E-15</v>
      </c>
    </row>
    <row r="250" spans="1:24" x14ac:dyDescent="0.25">
      <c r="A250" t="s">
        <v>396</v>
      </c>
      <c r="B250" t="s">
        <v>20</v>
      </c>
      <c r="C250" t="s">
        <v>290</v>
      </c>
      <c r="D250">
        <v>-0.57457681100000002</v>
      </c>
      <c r="E250">
        <v>-6.9025956999999999E-2</v>
      </c>
      <c r="F250">
        <v>-7.2208879421957153E-2</v>
      </c>
      <c r="G250">
        <v>-0.64360276900000002</v>
      </c>
      <c r="H250">
        <v>0.34443258300000001</v>
      </c>
      <c r="I250">
        <f t="shared" si="12"/>
        <v>-0.71581164742195724</v>
      </c>
      <c r="J250">
        <f t="shared" si="13"/>
        <v>0.32831595262626284</v>
      </c>
      <c r="K250">
        <v>-0.80976737799999998</v>
      </c>
      <c r="L250">
        <v>-0.26626250400000001</v>
      </c>
      <c r="M250">
        <v>-0.15262980225704867</v>
      </c>
      <c r="N250">
        <v>-1.076029882</v>
      </c>
      <c r="O250">
        <v>0.25425806000000001</v>
      </c>
      <c r="P250">
        <f t="shared" si="14"/>
        <v>-1.2286596842570487</v>
      </c>
      <c r="Q250">
        <f t="shared" si="15"/>
        <v>0.22641609842391558</v>
      </c>
      <c r="R250">
        <f>+AVERAGE(O250,H250)</f>
        <v>0.29934532150000004</v>
      </c>
      <c r="S250">
        <f>+AVERAGE(E250,L250)</f>
        <v>-0.16764423049999999</v>
      </c>
      <c r="T250">
        <f>+AVERAGE(G250,N250)</f>
        <v>-0.85981632549999998</v>
      </c>
      <c r="U250">
        <v>0.99986479900000003</v>
      </c>
      <c r="V250" s="1">
        <v>1.02E-22</v>
      </c>
      <c r="W250">
        <v>1.35201E-4</v>
      </c>
      <c r="X250" s="1">
        <v>1.58E-16</v>
      </c>
    </row>
    <row r="251" spans="1:24" x14ac:dyDescent="0.25">
      <c r="A251" t="s">
        <v>396</v>
      </c>
      <c r="B251" t="s">
        <v>26</v>
      </c>
      <c r="C251" t="s">
        <v>291</v>
      </c>
      <c r="D251">
        <v>-0.57457681100000002</v>
      </c>
      <c r="E251">
        <v>-0.103162051</v>
      </c>
      <c r="F251">
        <v>0</v>
      </c>
      <c r="G251">
        <v>-0.677738862</v>
      </c>
      <c r="H251">
        <v>0.33676615199999999</v>
      </c>
      <c r="I251">
        <f t="shared" si="12"/>
        <v>-0.677738862</v>
      </c>
      <c r="J251">
        <f t="shared" si="13"/>
        <v>0.33676615186770631</v>
      </c>
      <c r="K251">
        <v>-0.80976737799999998</v>
      </c>
      <c r="L251">
        <v>1.5743619999999999E-3</v>
      </c>
      <c r="M251">
        <v>0</v>
      </c>
      <c r="N251">
        <v>-0.80819301600000004</v>
      </c>
      <c r="O251">
        <v>0.30827568700000002</v>
      </c>
      <c r="P251">
        <f t="shared" si="14"/>
        <v>-0.80819301599999993</v>
      </c>
      <c r="Q251">
        <f t="shared" si="15"/>
        <v>0.30827568664523297</v>
      </c>
      <c r="R251">
        <f>+AVERAGE(O251,H251)</f>
        <v>0.3225209195</v>
      </c>
      <c r="S251">
        <f>+AVERAGE(E251,L251)</f>
        <v>-5.0793844500000004E-2</v>
      </c>
      <c r="T251">
        <f>+AVERAGE(G251,N251)</f>
        <v>-0.74296593900000008</v>
      </c>
      <c r="U251">
        <v>0.99996346999999997</v>
      </c>
      <c r="V251" s="1">
        <v>2.3399999999999999E-30</v>
      </c>
      <c r="W251" s="1">
        <v>3.65E-5</v>
      </c>
      <c r="X251" s="1">
        <v>4.1499999999999999E-16</v>
      </c>
    </row>
    <row r="252" spans="1:24" x14ac:dyDescent="0.25">
      <c r="A252" t="s">
        <v>396</v>
      </c>
      <c r="B252" t="s">
        <v>19</v>
      </c>
      <c r="C252" t="s">
        <v>292</v>
      </c>
      <c r="D252">
        <v>-0.57457681100000002</v>
      </c>
      <c r="E252">
        <v>-0.15729235999999999</v>
      </c>
      <c r="F252">
        <v>-0.56248729144923193</v>
      </c>
      <c r="G252">
        <v>-0.73186917200000001</v>
      </c>
      <c r="H252">
        <v>0.32478468500000002</v>
      </c>
      <c r="I252">
        <f t="shared" si="12"/>
        <v>-1.2943564624492319</v>
      </c>
      <c r="J252">
        <f t="shared" si="13"/>
        <v>0.21511634717105099</v>
      </c>
      <c r="K252">
        <v>-0.80976737799999998</v>
      </c>
      <c r="L252">
        <v>-0.32680357700000001</v>
      </c>
      <c r="M252">
        <v>-0.70414875992547199</v>
      </c>
      <c r="N252">
        <v>-1.136570955</v>
      </c>
      <c r="O252">
        <v>0.24295049399999999</v>
      </c>
      <c r="P252">
        <f t="shared" si="14"/>
        <v>-1.8407197149254722</v>
      </c>
      <c r="Q252">
        <f t="shared" si="15"/>
        <v>0.1369661953936856</v>
      </c>
      <c r="R252">
        <f>+AVERAGE(O252,H252)</f>
        <v>0.28386758950000002</v>
      </c>
      <c r="S252">
        <f>+AVERAGE(E252,L252)</f>
        <v>-0.24204796849999999</v>
      </c>
      <c r="T252">
        <f>+AVERAGE(G252,N252)</f>
        <v>-0.93422006349999998</v>
      </c>
      <c r="U252">
        <v>0.99997692500000002</v>
      </c>
      <c r="V252" s="1">
        <v>6.43E-30</v>
      </c>
      <c r="W252" s="1">
        <v>2.3099999999999999E-5</v>
      </c>
      <c r="X252" s="1">
        <v>4.9500000000000004E-15</v>
      </c>
    </row>
    <row r="253" spans="1:24" x14ac:dyDescent="0.25">
      <c r="A253" t="s">
        <v>396</v>
      </c>
      <c r="B253" t="s">
        <v>25</v>
      </c>
      <c r="C253" t="s">
        <v>293</v>
      </c>
      <c r="D253">
        <v>-0.57457681100000002</v>
      </c>
      <c r="E253">
        <v>-0.19348657</v>
      </c>
      <c r="F253">
        <v>-9.2997517450181935E-2</v>
      </c>
      <c r="G253">
        <v>-0.76806338100000004</v>
      </c>
      <c r="H253">
        <v>0.316898185</v>
      </c>
      <c r="I253">
        <f t="shared" si="12"/>
        <v>-0.86106089845018197</v>
      </c>
      <c r="J253">
        <f t="shared" si="13"/>
        <v>0.29711774123080736</v>
      </c>
      <c r="K253">
        <v>-0.80976737799999998</v>
      </c>
      <c r="L253">
        <v>-0.33683808500000001</v>
      </c>
      <c r="M253">
        <v>-0.11517847013335669</v>
      </c>
      <c r="N253">
        <v>-1.146605463</v>
      </c>
      <c r="O253">
        <v>0.24110965500000001</v>
      </c>
      <c r="P253">
        <f t="shared" si="14"/>
        <v>-1.2617839331333567</v>
      </c>
      <c r="Q253">
        <f t="shared" si="15"/>
        <v>0.22066695093138788</v>
      </c>
      <c r="R253">
        <f>+AVERAGE(O253,H253)</f>
        <v>0.27900392000000002</v>
      </c>
      <c r="S253">
        <f>+AVERAGE(E253,L253)</f>
        <v>-0.26516232750000002</v>
      </c>
      <c r="T253">
        <f>+AVERAGE(G253,N253)</f>
        <v>-0.95733442199999996</v>
      </c>
      <c r="U253">
        <v>0.99919964100000003</v>
      </c>
      <c r="V253" s="1">
        <v>5.7599999999999998E-26</v>
      </c>
      <c r="W253">
        <v>8.0035900000000005E-4</v>
      </c>
      <c r="X253" s="1">
        <v>4.25E-15</v>
      </c>
    </row>
    <row r="254" spans="1:24" x14ac:dyDescent="0.25">
      <c r="A254" t="s">
        <v>396</v>
      </c>
      <c r="B254" t="s">
        <v>19</v>
      </c>
      <c r="C254" t="s">
        <v>294</v>
      </c>
      <c r="D254">
        <v>-0.57457681100000002</v>
      </c>
      <c r="E254">
        <v>0.28441731100000001</v>
      </c>
      <c r="F254">
        <v>-0.56248729144923193</v>
      </c>
      <c r="G254">
        <v>-0.29015950000000001</v>
      </c>
      <c r="H254">
        <v>0.427964819</v>
      </c>
      <c r="I254">
        <f t="shared" si="12"/>
        <v>-0.85264679144923194</v>
      </c>
      <c r="J254">
        <f t="shared" si="13"/>
        <v>0.2988779275299378</v>
      </c>
      <c r="K254">
        <v>-0.80976737799999998</v>
      </c>
      <c r="L254">
        <v>0.307834249</v>
      </c>
      <c r="M254">
        <v>-0.70414875992547199</v>
      </c>
      <c r="N254">
        <v>-0.50193312899999998</v>
      </c>
      <c r="O254">
        <v>0.377086484</v>
      </c>
      <c r="P254">
        <f t="shared" si="14"/>
        <v>-1.2060818889254721</v>
      </c>
      <c r="Q254">
        <f t="shared" si="15"/>
        <v>0.23039504966347343</v>
      </c>
      <c r="R254">
        <f>+AVERAGE(O254,H254)</f>
        <v>0.40252565149999997</v>
      </c>
      <c r="S254">
        <f>+AVERAGE(E254,L254)</f>
        <v>0.29612578000000001</v>
      </c>
      <c r="T254">
        <f>+AVERAGE(G254,N254)</f>
        <v>-0.3960463145</v>
      </c>
      <c r="U254">
        <v>0.99998212500000005</v>
      </c>
      <c r="V254" s="1">
        <v>1.1400000000000001E-24</v>
      </c>
      <c r="W254" s="1">
        <v>1.7900000000000001E-5</v>
      </c>
      <c r="X254" s="1">
        <v>6.6099999999999997E-15</v>
      </c>
    </row>
    <row r="255" spans="1:24" x14ac:dyDescent="0.25">
      <c r="A255" t="s">
        <v>396</v>
      </c>
      <c r="B255" t="s">
        <v>20</v>
      </c>
      <c r="C255" t="s">
        <v>295</v>
      </c>
      <c r="D255">
        <v>-0.57457681100000002</v>
      </c>
      <c r="E255">
        <v>0.16054016600000001</v>
      </c>
      <c r="F255">
        <v>-7.2208879421957153E-2</v>
      </c>
      <c r="G255">
        <v>-0.41403664600000001</v>
      </c>
      <c r="H255">
        <v>0.39794460500000001</v>
      </c>
      <c r="I255">
        <f t="shared" si="12"/>
        <v>-0.48624552442195718</v>
      </c>
      <c r="J255">
        <f t="shared" si="13"/>
        <v>0.38077842413194685</v>
      </c>
      <c r="K255">
        <v>-0.80976737799999998</v>
      </c>
      <c r="L255">
        <v>0.48270692199999998</v>
      </c>
      <c r="M255">
        <v>-0.15262980225704867</v>
      </c>
      <c r="N255">
        <v>-0.327060456</v>
      </c>
      <c r="O255">
        <v>0.41895603100000001</v>
      </c>
      <c r="P255">
        <f t="shared" si="14"/>
        <v>-0.4796902582570487</v>
      </c>
      <c r="Q255">
        <f t="shared" si="15"/>
        <v>0.38232526889995533</v>
      </c>
      <c r="R255">
        <f>+AVERAGE(O255,H255)</f>
        <v>0.40845031799999998</v>
      </c>
      <c r="S255">
        <f>+AVERAGE(E255,L255)</f>
        <v>0.32162354399999998</v>
      </c>
      <c r="T255">
        <f>+AVERAGE(G255,N255)</f>
        <v>-0.370548551</v>
      </c>
      <c r="U255">
        <v>0.99798836300000004</v>
      </c>
      <c r="V255" s="1">
        <v>5.5799999999999998E-25</v>
      </c>
      <c r="W255">
        <v>2.0116370000000001E-3</v>
      </c>
      <c r="X255" s="1">
        <v>5.4799999999999999E-15</v>
      </c>
    </row>
    <row r="256" spans="1:24" x14ac:dyDescent="0.25">
      <c r="A256" t="s">
        <v>396</v>
      </c>
      <c r="B256" t="s">
        <v>25</v>
      </c>
      <c r="C256" t="s">
        <v>296</v>
      </c>
      <c r="D256">
        <v>-0.57457681100000002</v>
      </c>
      <c r="E256">
        <v>0.16277457400000001</v>
      </c>
      <c r="F256">
        <v>-9.2997517450181935E-2</v>
      </c>
      <c r="G256">
        <v>-0.41180223700000002</v>
      </c>
      <c r="H256">
        <v>0.398480057</v>
      </c>
      <c r="I256">
        <f t="shared" si="12"/>
        <v>-0.50479975445018199</v>
      </c>
      <c r="J256">
        <f t="shared" si="13"/>
        <v>0.37641337344459203</v>
      </c>
      <c r="K256">
        <v>-0.80976737799999998</v>
      </c>
      <c r="L256">
        <v>0.38884629100000001</v>
      </c>
      <c r="M256">
        <v>-0.11517847013335669</v>
      </c>
      <c r="N256">
        <v>-0.42092108700000003</v>
      </c>
      <c r="O256">
        <v>0.39629636299999998</v>
      </c>
      <c r="P256">
        <f t="shared" si="14"/>
        <v>-0.53609955713335666</v>
      </c>
      <c r="Q256">
        <f t="shared" si="15"/>
        <v>0.36909539026095284</v>
      </c>
      <c r="R256">
        <f>+AVERAGE(O256,H256)</f>
        <v>0.39738821000000002</v>
      </c>
      <c r="S256">
        <f>+AVERAGE(E256,L256)</f>
        <v>0.27581043250000004</v>
      </c>
      <c r="T256">
        <f>+AVERAGE(G256,N256)</f>
        <v>-0.41636166200000002</v>
      </c>
      <c r="U256">
        <v>0.99850878300000001</v>
      </c>
      <c r="V256" s="1">
        <v>1.51E-27</v>
      </c>
      <c r="W256">
        <v>1.491217E-3</v>
      </c>
      <c r="X256" s="1">
        <v>2.6400000000000001E-17</v>
      </c>
    </row>
    <row r="257" spans="1:24" x14ac:dyDescent="0.25">
      <c r="A257" t="s">
        <v>396</v>
      </c>
      <c r="B257" t="s">
        <v>18</v>
      </c>
      <c r="C257" t="s">
        <v>297</v>
      </c>
      <c r="D257">
        <v>-0.57457681100000002</v>
      </c>
      <c r="E257">
        <v>0.17741410199999999</v>
      </c>
      <c r="F257">
        <v>-0.27945122320506655</v>
      </c>
      <c r="G257">
        <v>-0.397162709</v>
      </c>
      <c r="H257">
        <v>0.40199422000000001</v>
      </c>
      <c r="I257">
        <f t="shared" si="12"/>
        <v>-0.6766139322050666</v>
      </c>
      <c r="J257">
        <f t="shared" si="13"/>
        <v>0.33701745635644309</v>
      </c>
      <c r="K257">
        <v>-0.80976737799999998</v>
      </c>
      <c r="L257">
        <v>2.8450283E-2</v>
      </c>
      <c r="M257">
        <v>-0.27877632987391054</v>
      </c>
      <c r="N257">
        <v>-0.78131709400000005</v>
      </c>
      <c r="O257">
        <v>0.31403609199999999</v>
      </c>
      <c r="P257">
        <f t="shared" si="14"/>
        <v>-1.0600934248739105</v>
      </c>
      <c r="Q257">
        <f t="shared" si="15"/>
        <v>0.25729160148733521</v>
      </c>
      <c r="R257">
        <f>+AVERAGE(O257,H257)</f>
        <v>0.358015156</v>
      </c>
      <c r="S257">
        <f>+AVERAGE(E257,L257)</f>
        <v>0.10293219249999999</v>
      </c>
      <c r="T257">
        <f>+AVERAGE(G257,N257)</f>
        <v>-0.58923990150000005</v>
      </c>
      <c r="U257">
        <v>0.99965246699999999</v>
      </c>
      <c r="V257" s="1">
        <v>9.67E-29</v>
      </c>
      <c r="W257">
        <v>3.4753300000000002E-4</v>
      </c>
      <c r="X257" s="1">
        <v>2.23E-14</v>
      </c>
    </row>
    <row r="258" spans="1:24" x14ac:dyDescent="0.25">
      <c r="A258" t="s">
        <v>396</v>
      </c>
      <c r="B258" t="s">
        <v>23</v>
      </c>
      <c r="C258" t="s">
        <v>298</v>
      </c>
      <c r="D258">
        <v>-0.57457681100000002</v>
      </c>
      <c r="E258">
        <v>-0.17437304200000001</v>
      </c>
      <c r="F258">
        <v>-0.40867213275064479</v>
      </c>
      <c r="G258">
        <v>-0.74894985400000003</v>
      </c>
      <c r="H258">
        <v>0.32105016600000003</v>
      </c>
      <c r="I258">
        <f t="shared" si="12"/>
        <v>-1.1576219857506449</v>
      </c>
      <c r="J258">
        <f t="shared" si="13"/>
        <v>0.23909965123218013</v>
      </c>
      <c r="K258">
        <v>-0.80976737799999998</v>
      </c>
      <c r="L258">
        <v>-0.27230535</v>
      </c>
      <c r="M258">
        <v>-0.70604191684048312</v>
      </c>
      <c r="N258">
        <v>-1.082072728</v>
      </c>
      <c r="O258">
        <v>0.25311397299999999</v>
      </c>
      <c r="P258">
        <f t="shared" si="14"/>
        <v>-1.788114644840483</v>
      </c>
      <c r="Q258">
        <f t="shared" si="15"/>
        <v>0.14330402911157558</v>
      </c>
      <c r="R258">
        <f>+AVERAGE(O258,H258)</f>
        <v>0.28708206950000004</v>
      </c>
      <c r="S258">
        <f>+AVERAGE(E258,L258)</f>
        <v>-0.22333919600000002</v>
      </c>
      <c r="T258">
        <f>+AVERAGE(G258,N258)</f>
        <v>-0.91551129100000006</v>
      </c>
      <c r="U258">
        <v>9.4207463000000005E-2</v>
      </c>
      <c r="V258" s="1">
        <v>1.2000000000000001E-28</v>
      </c>
      <c r="W258">
        <v>0.90579253699999995</v>
      </c>
      <c r="X258" s="1">
        <v>5.8300000000000001E-16</v>
      </c>
    </row>
    <row r="259" spans="1:24" x14ac:dyDescent="0.25">
      <c r="A259" t="s">
        <v>396</v>
      </c>
      <c r="B259" t="s">
        <v>25</v>
      </c>
      <c r="C259" t="s">
        <v>299</v>
      </c>
      <c r="D259">
        <v>-0.57457681100000002</v>
      </c>
      <c r="E259">
        <v>0.22229881200000001</v>
      </c>
      <c r="F259">
        <v>-9.2997517450181935E-2</v>
      </c>
      <c r="G259">
        <v>-0.35227799900000001</v>
      </c>
      <c r="H259">
        <v>0.41283012099999999</v>
      </c>
      <c r="I259">
        <f t="shared" ref="I259:I322" si="16">+D259+E259+F259</f>
        <v>-0.44527551645018193</v>
      </c>
      <c r="J259">
        <f t="shared" ref="J259:J322" si="17">1/(1+EXP(-I259))</f>
        <v>0.39048463971887326</v>
      </c>
      <c r="K259">
        <v>-0.80976737799999998</v>
      </c>
      <c r="L259">
        <v>0.38884629100000001</v>
      </c>
      <c r="M259">
        <v>-0.11517847013335669</v>
      </c>
      <c r="N259">
        <v>-0.42092108700000003</v>
      </c>
      <c r="O259">
        <v>0.39629636299999998</v>
      </c>
      <c r="P259">
        <f t="shared" ref="P259:P322" si="18">+K259+L259+M259</f>
        <v>-0.53609955713335666</v>
      </c>
      <c r="Q259">
        <f t="shared" ref="Q259:Q322" si="19">1/(1+EXP(-P259))</f>
        <v>0.36909539026095284</v>
      </c>
      <c r="R259">
        <f>+AVERAGE(O259,H259)</f>
        <v>0.40456324199999999</v>
      </c>
      <c r="S259">
        <f>+AVERAGE(E259,L259)</f>
        <v>0.30557255150000001</v>
      </c>
      <c r="T259">
        <f>+AVERAGE(G259,N259)</f>
        <v>-0.38659954299999999</v>
      </c>
      <c r="U259">
        <v>0.99986070500000002</v>
      </c>
      <c r="V259" s="1">
        <v>5.5500000000000001E-31</v>
      </c>
      <c r="W259">
        <v>1.39295E-4</v>
      </c>
      <c r="X259" s="1">
        <v>8.5999999999999997E-16</v>
      </c>
    </row>
    <row r="260" spans="1:24" x14ac:dyDescent="0.25">
      <c r="A260" t="s">
        <v>396</v>
      </c>
      <c r="B260" t="s">
        <v>16</v>
      </c>
      <c r="C260" t="s">
        <v>300</v>
      </c>
      <c r="D260">
        <v>-0.57457681100000002</v>
      </c>
      <c r="E260">
        <v>-1.2047119E-2</v>
      </c>
      <c r="F260">
        <v>-0.79503465290812969</v>
      </c>
      <c r="G260">
        <v>-0.58662393000000002</v>
      </c>
      <c r="H260">
        <v>0.35740985600000003</v>
      </c>
      <c r="I260">
        <f t="shared" si="16"/>
        <v>-1.3816585829081296</v>
      </c>
      <c r="J260">
        <f t="shared" si="17"/>
        <v>0.20074275615954887</v>
      </c>
      <c r="K260">
        <v>-0.80976737799999998</v>
      </c>
      <c r="L260">
        <v>-0.33252870899999998</v>
      </c>
      <c r="M260">
        <v>-0.92641011837371778</v>
      </c>
      <c r="N260">
        <v>-1.1422960870000001</v>
      </c>
      <c r="O260">
        <v>0.24189904600000001</v>
      </c>
      <c r="P260">
        <f t="shared" si="18"/>
        <v>-2.0687062053737177</v>
      </c>
      <c r="Q260">
        <f t="shared" si="19"/>
        <v>0.112175826042993</v>
      </c>
      <c r="R260">
        <f>+AVERAGE(O260,H260)</f>
        <v>0.29965445099999999</v>
      </c>
      <c r="S260">
        <f>+AVERAGE(E260,L260)</f>
        <v>-0.17228791399999999</v>
      </c>
      <c r="T260">
        <f>+AVERAGE(G260,N260)</f>
        <v>-0.86446000850000004</v>
      </c>
      <c r="U260">
        <v>0.99996158700000004</v>
      </c>
      <c r="V260" s="1">
        <v>1.46E-28</v>
      </c>
      <c r="W260" s="1">
        <v>3.8399999999999998E-5</v>
      </c>
      <c r="X260" s="1">
        <v>3.8600000000000001E-17</v>
      </c>
    </row>
    <row r="261" spans="1:24" x14ac:dyDescent="0.25">
      <c r="A261" t="s">
        <v>396</v>
      </c>
      <c r="B261" t="s">
        <v>16</v>
      </c>
      <c r="C261" t="s">
        <v>301</v>
      </c>
      <c r="D261">
        <v>-0.57457681100000002</v>
      </c>
      <c r="E261">
        <v>0.40923943200000001</v>
      </c>
      <c r="F261">
        <v>-0.79503465290812969</v>
      </c>
      <c r="G261">
        <v>-0.16533737900000001</v>
      </c>
      <c r="H261">
        <v>0.45875956000000001</v>
      </c>
      <c r="I261">
        <f t="shared" si="16"/>
        <v>-0.9603720319081297</v>
      </c>
      <c r="J261">
        <f t="shared" si="17"/>
        <v>0.2768037140729156</v>
      </c>
      <c r="K261">
        <v>-0.80976737799999998</v>
      </c>
      <c r="L261">
        <v>0.89206601299999999</v>
      </c>
      <c r="M261">
        <v>-0.92641011837371778</v>
      </c>
      <c r="N261">
        <v>8.2298634999999995E-2</v>
      </c>
      <c r="O261">
        <v>0.52056305400000003</v>
      </c>
      <c r="P261">
        <f t="shared" si="18"/>
        <v>-0.84411148337371777</v>
      </c>
      <c r="Q261">
        <f t="shared" si="19"/>
        <v>0.30066956530382277</v>
      </c>
      <c r="R261">
        <f>+AVERAGE(O261,H261)</f>
        <v>0.48966130699999999</v>
      </c>
      <c r="S261">
        <f>+AVERAGE(E261,L261)</f>
        <v>0.65065272250000006</v>
      </c>
      <c r="T261">
        <f>+AVERAGE(G261,N261)</f>
        <v>-4.1519372000000006E-2</v>
      </c>
      <c r="U261">
        <v>0.99994829100000004</v>
      </c>
      <c r="V261" s="1">
        <v>3.2799999999999998E-31</v>
      </c>
      <c r="W261" s="1">
        <v>5.1700000000000003E-5</v>
      </c>
      <c r="X261" s="1">
        <v>5.1E-16</v>
      </c>
    </row>
    <row r="262" spans="1:24" x14ac:dyDescent="0.25">
      <c r="A262" t="s">
        <v>396</v>
      </c>
      <c r="B262" t="s">
        <v>18</v>
      </c>
      <c r="C262" t="s">
        <v>302</v>
      </c>
      <c r="D262">
        <v>-0.57457681100000002</v>
      </c>
      <c r="E262">
        <v>0.124638317</v>
      </c>
      <c r="F262">
        <v>-0.27945122320506655</v>
      </c>
      <c r="G262">
        <v>-0.44993849400000002</v>
      </c>
      <c r="H262">
        <v>0.38937538999999999</v>
      </c>
      <c r="I262">
        <f t="shared" si="16"/>
        <v>-0.72938971720506651</v>
      </c>
      <c r="J262">
        <f t="shared" si="17"/>
        <v>0.32532866406055244</v>
      </c>
      <c r="K262">
        <v>-0.80976737799999998</v>
      </c>
      <c r="L262">
        <v>0.17077848700000001</v>
      </c>
      <c r="M262">
        <v>-0.27877632987391054</v>
      </c>
      <c r="N262">
        <v>-0.638988891</v>
      </c>
      <c r="O262">
        <v>0.34547513800000001</v>
      </c>
      <c r="P262">
        <f t="shared" si="18"/>
        <v>-0.91776522087391055</v>
      </c>
      <c r="Q262">
        <f t="shared" si="19"/>
        <v>0.28541346469437795</v>
      </c>
      <c r="R262">
        <f>+AVERAGE(O262,H262)</f>
        <v>0.36742526399999997</v>
      </c>
      <c r="S262">
        <f>+AVERAGE(E262,L262)</f>
        <v>0.14770840200000002</v>
      </c>
      <c r="T262">
        <f>+AVERAGE(G262,N262)</f>
        <v>-0.54446369250000004</v>
      </c>
      <c r="U262">
        <v>0.99997492700000001</v>
      </c>
      <c r="V262" s="1">
        <v>6.0099999999999998E-27</v>
      </c>
      <c r="W262" s="1">
        <v>2.51E-5</v>
      </c>
      <c r="X262" s="1">
        <v>1.0399999999999999E-15</v>
      </c>
    </row>
    <row r="263" spans="1:24" x14ac:dyDescent="0.25">
      <c r="A263" t="s">
        <v>396</v>
      </c>
      <c r="B263" t="s">
        <v>24</v>
      </c>
      <c r="C263" t="s">
        <v>303</v>
      </c>
      <c r="D263">
        <v>-0.57457681100000002</v>
      </c>
      <c r="E263">
        <v>0.16549383000000001</v>
      </c>
      <c r="F263">
        <v>-4.6370389673564522E-2</v>
      </c>
      <c r="G263">
        <v>-0.40908298100000001</v>
      </c>
      <c r="H263">
        <v>0.399132025</v>
      </c>
      <c r="I263">
        <f t="shared" si="16"/>
        <v>-0.45545337067356451</v>
      </c>
      <c r="J263">
        <f t="shared" si="17"/>
        <v>0.38806496335407864</v>
      </c>
      <c r="K263">
        <v>-0.80976737799999998</v>
      </c>
      <c r="L263">
        <v>0.309434557</v>
      </c>
      <c r="M263">
        <v>-0.13190576120816735</v>
      </c>
      <c r="N263">
        <v>-0.50033282099999998</v>
      </c>
      <c r="O263">
        <v>0.377462458</v>
      </c>
      <c r="P263">
        <f t="shared" si="18"/>
        <v>-0.63223858220816731</v>
      </c>
      <c r="Q263">
        <f t="shared" si="19"/>
        <v>0.34700311951237695</v>
      </c>
      <c r="R263">
        <f>+AVERAGE(O263,H263)</f>
        <v>0.3882972415</v>
      </c>
      <c r="S263">
        <f>+AVERAGE(E263,L263)</f>
        <v>0.2374641935</v>
      </c>
      <c r="T263">
        <f>+AVERAGE(G263,N263)</f>
        <v>-0.45470790100000003</v>
      </c>
      <c r="U263">
        <v>0.99986736499999995</v>
      </c>
      <c r="V263" s="1">
        <v>3.37E-29</v>
      </c>
      <c r="W263">
        <v>1.3263500000000001E-4</v>
      </c>
      <c r="X263" s="1">
        <v>2.26E-15</v>
      </c>
    </row>
    <row r="264" spans="1:24" x14ac:dyDescent="0.25">
      <c r="A264" t="s">
        <v>396</v>
      </c>
      <c r="B264" t="s">
        <v>25</v>
      </c>
      <c r="C264" t="s">
        <v>304</v>
      </c>
      <c r="D264">
        <v>-0.57457681100000002</v>
      </c>
      <c r="E264">
        <v>-0.100382241</v>
      </c>
      <c r="F264">
        <v>-9.2997517450181935E-2</v>
      </c>
      <c r="G264">
        <v>-0.67495905199999995</v>
      </c>
      <c r="H264">
        <v>0.33738731700000002</v>
      </c>
      <c r="I264">
        <f t="shared" si="16"/>
        <v>-0.76795656945018198</v>
      </c>
      <c r="J264">
        <f t="shared" si="17"/>
        <v>0.31692130700368903</v>
      </c>
      <c r="K264">
        <v>-0.80976737799999998</v>
      </c>
      <c r="L264">
        <v>-0.33683808500000001</v>
      </c>
      <c r="M264">
        <v>-0.11517847013335669</v>
      </c>
      <c r="N264">
        <v>-1.146605463</v>
      </c>
      <c r="O264">
        <v>0.24110965500000001</v>
      </c>
      <c r="P264">
        <f t="shared" si="18"/>
        <v>-1.2617839331333567</v>
      </c>
      <c r="Q264">
        <f t="shared" si="19"/>
        <v>0.22066695093138788</v>
      </c>
      <c r="R264">
        <f>+AVERAGE(O264,H264)</f>
        <v>0.28924848600000003</v>
      </c>
      <c r="S264">
        <f>+AVERAGE(E264,L264)</f>
        <v>-0.218610163</v>
      </c>
      <c r="T264">
        <f>+AVERAGE(G264,N264)</f>
        <v>-0.91078225749999997</v>
      </c>
      <c r="U264">
        <v>0.99993565399999995</v>
      </c>
      <c r="V264" s="1">
        <v>7.4700000000000002E-28</v>
      </c>
      <c r="W264" s="1">
        <v>6.4300000000000004E-5</v>
      </c>
      <c r="X264" s="1">
        <v>6.0999999999999995E-16</v>
      </c>
    </row>
    <row r="265" spans="1:24" x14ac:dyDescent="0.25">
      <c r="A265" t="s">
        <v>396</v>
      </c>
      <c r="B265" t="s">
        <v>23</v>
      </c>
      <c r="C265" t="s">
        <v>305</v>
      </c>
      <c r="D265">
        <v>-0.57457681100000002</v>
      </c>
      <c r="E265">
        <v>8.9092791000000005E-2</v>
      </c>
      <c r="F265">
        <v>-0.40867213275064479</v>
      </c>
      <c r="G265">
        <v>-0.48548402000000002</v>
      </c>
      <c r="H265">
        <v>0.38095799299999999</v>
      </c>
      <c r="I265">
        <f t="shared" si="16"/>
        <v>-0.89415615275064475</v>
      </c>
      <c r="J265">
        <f t="shared" si="17"/>
        <v>0.29025288861476306</v>
      </c>
      <c r="K265">
        <v>-0.80976737799999998</v>
      </c>
      <c r="L265">
        <v>0.10525167000000001</v>
      </c>
      <c r="M265">
        <v>-0.70604191684048312</v>
      </c>
      <c r="N265">
        <v>-0.70451570799999996</v>
      </c>
      <c r="O265">
        <v>0.33081179900000002</v>
      </c>
      <c r="P265">
        <f t="shared" si="18"/>
        <v>-1.4105576248404832</v>
      </c>
      <c r="Q265">
        <f t="shared" si="19"/>
        <v>0.19614611918768488</v>
      </c>
      <c r="R265">
        <f>+AVERAGE(O265,H265)</f>
        <v>0.35588489600000001</v>
      </c>
      <c r="S265">
        <f>+AVERAGE(E265,L265)</f>
        <v>9.7172230500000012E-2</v>
      </c>
      <c r="T265">
        <f>+AVERAGE(G265,N265)</f>
        <v>-0.59499986400000004</v>
      </c>
      <c r="U265">
        <v>0.99973295699999998</v>
      </c>
      <c r="V265" s="1">
        <v>1.61E-27</v>
      </c>
      <c r="W265">
        <v>2.6704300000000001E-4</v>
      </c>
      <c r="X265" s="1">
        <v>2.7900000000000001E-17</v>
      </c>
    </row>
    <row r="266" spans="1:24" x14ac:dyDescent="0.25">
      <c r="A266" t="s">
        <v>396</v>
      </c>
      <c r="B266" t="s">
        <v>23</v>
      </c>
      <c r="C266" t="s">
        <v>306</v>
      </c>
      <c r="D266">
        <v>-0.57457681100000002</v>
      </c>
      <c r="E266">
        <v>-4.8891450000000001E-3</v>
      </c>
      <c r="F266">
        <v>-0.40867213275064479</v>
      </c>
      <c r="G266">
        <v>-0.57946595599999995</v>
      </c>
      <c r="H266">
        <v>0.35905548599999998</v>
      </c>
      <c r="I266">
        <f t="shared" si="16"/>
        <v>-0.98813808875064479</v>
      </c>
      <c r="J266">
        <f t="shared" si="17"/>
        <v>0.27127999681101478</v>
      </c>
      <c r="K266">
        <v>-0.80976737799999998</v>
      </c>
      <c r="L266">
        <v>-2.7763011000000001E-2</v>
      </c>
      <c r="M266">
        <v>-0.70604191684048312</v>
      </c>
      <c r="N266">
        <v>-0.83753038899999999</v>
      </c>
      <c r="O266">
        <v>0.30205516799999999</v>
      </c>
      <c r="P266">
        <f t="shared" si="18"/>
        <v>-1.5435723058404831</v>
      </c>
      <c r="Q266">
        <f t="shared" si="19"/>
        <v>0.17601656656408202</v>
      </c>
      <c r="R266">
        <f>+AVERAGE(O266,H266)</f>
        <v>0.33055532700000001</v>
      </c>
      <c r="S266">
        <f>+AVERAGE(E266,L266)</f>
        <v>-1.6326078000000001E-2</v>
      </c>
      <c r="T266">
        <f>+AVERAGE(G266,N266)</f>
        <v>-0.70849817249999991</v>
      </c>
      <c r="U266">
        <v>0.99974354600000004</v>
      </c>
      <c r="V266" s="1">
        <v>1.5799999999999999E-25</v>
      </c>
      <c r="W266">
        <v>2.5645399999999998E-4</v>
      </c>
      <c r="X266" s="1">
        <v>1.2699999999999999E-15</v>
      </c>
    </row>
    <row r="267" spans="1:24" x14ac:dyDescent="0.25">
      <c r="A267" t="s">
        <v>396</v>
      </c>
      <c r="B267" t="s">
        <v>23</v>
      </c>
      <c r="C267" t="s">
        <v>307</v>
      </c>
      <c r="D267">
        <v>-0.57457681100000002</v>
      </c>
      <c r="E267">
        <v>0.22601953699999999</v>
      </c>
      <c r="F267">
        <v>-0.40867213275064479</v>
      </c>
      <c r="G267">
        <v>-0.34855727399999997</v>
      </c>
      <c r="H267">
        <v>0.41373232199999999</v>
      </c>
      <c r="I267">
        <f t="shared" si="16"/>
        <v>-0.75722940675064487</v>
      </c>
      <c r="J267">
        <f t="shared" si="17"/>
        <v>0.31924809400007337</v>
      </c>
      <c r="K267">
        <v>-0.80976737799999998</v>
      </c>
      <c r="L267">
        <v>0.270098212</v>
      </c>
      <c r="M267">
        <v>-0.70604191684048312</v>
      </c>
      <c r="N267">
        <v>-0.53966916600000003</v>
      </c>
      <c r="O267">
        <v>0.36826454600000003</v>
      </c>
      <c r="P267">
        <f t="shared" si="18"/>
        <v>-1.2457110828404829</v>
      </c>
      <c r="Q267">
        <f t="shared" si="19"/>
        <v>0.22344345381371522</v>
      </c>
      <c r="R267">
        <f>+AVERAGE(O267,H267)</f>
        <v>0.39099843400000001</v>
      </c>
      <c r="S267">
        <f>+AVERAGE(E267,L267)</f>
        <v>0.2480588745</v>
      </c>
      <c r="T267">
        <f>+AVERAGE(G267,N267)</f>
        <v>-0.44411321999999998</v>
      </c>
      <c r="U267">
        <v>0.99995627600000003</v>
      </c>
      <c r="V267" s="1">
        <v>1.47E-27</v>
      </c>
      <c r="W267" s="1">
        <v>4.3699999999999998E-5</v>
      </c>
      <c r="X267" s="1">
        <v>4.8899999999999996E-16</v>
      </c>
    </row>
    <row r="268" spans="1:24" x14ac:dyDescent="0.25">
      <c r="A268" t="s">
        <v>396</v>
      </c>
      <c r="B268" t="s">
        <v>24</v>
      </c>
      <c r="C268" t="s">
        <v>308</v>
      </c>
      <c r="D268">
        <v>-0.57457681100000002</v>
      </c>
      <c r="E268">
        <v>8.0529062999999998E-2</v>
      </c>
      <c r="F268">
        <v>-4.6370389673564522E-2</v>
      </c>
      <c r="G268">
        <v>-0.49404774800000001</v>
      </c>
      <c r="H268">
        <v>0.37894048600000002</v>
      </c>
      <c r="I268">
        <f t="shared" si="16"/>
        <v>-0.5404181376735645</v>
      </c>
      <c r="J268">
        <f t="shared" si="17"/>
        <v>0.3680903181463494</v>
      </c>
      <c r="K268">
        <v>-0.80976737799999998</v>
      </c>
      <c r="L268">
        <v>0.11408792299999999</v>
      </c>
      <c r="M268">
        <v>-0.13190576120816735</v>
      </c>
      <c r="N268">
        <v>-0.69567945499999995</v>
      </c>
      <c r="O268">
        <v>0.33277084299999998</v>
      </c>
      <c r="P268">
        <f t="shared" si="18"/>
        <v>-0.82758521620816727</v>
      </c>
      <c r="Q268">
        <f t="shared" si="19"/>
        <v>0.30415590547761923</v>
      </c>
      <c r="R268">
        <f>+AVERAGE(O268,H268)</f>
        <v>0.3558556645</v>
      </c>
      <c r="S268">
        <f>+AVERAGE(E268,L268)</f>
        <v>9.7308492999999996E-2</v>
      </c>
      <c r="T268">
        <f>+AVERAGE(G268,N268)</f>
        <v>-0.59486360149999995</v>
      </c>
      <c r="U268">
        <v>0.98650325800000005</v>
      </c>
      <c r="V268" s="1">
        <v>1.5700000000000001E-29</v>
      </c>
      <c r="W268">
        <v>1.3496742000000001E-2</v>
      </c>
      <c r="X268" s="1">
        <v>2.6999999999999999E-14</v>
      </c>
    </row>
    <row r="269" spans="1:24" x14ac:dyDescent="0.25">
      <c r="A269" t="s">
        <v>396</v>
      </c>
      <c r="B269" t="s">
        <v>19</v>
      </c>
      <c r="C269" t="s">
        <v>309</v>
      </c>
      <c r="D269">
        <v>-0.57457681100000002</v>
      </c>
      <c r="E269">
        <v>-0.196344874</v>
      </c>
      <c r="F269">
        <v>-0.56248729144923193</v>
      </c>
      <c r="G269">
        <v>-0.77092168599999999</v>
      </c>
      <c r="H269">
        <v>0.31627976099999999</v>
      </c>
      <c r="I269">
        <f t="shared" si="16"/>
        <v>-1.3334089764492321</v>
      </c>
      <c r="J269">
        <f t="shared" si="17"/>
        <v>0.20859603960292525</v>
      </c>
      <c r="K269">
        <v>-0.80976737799999998</v>
      </c>
      <c r="L269">
        <v>-0.38145031699999998</v>
      </c>
      <c r="M269">
        <v>-0.70414875992547199</v>
      </c>
      <c r="N269">
        <v>-1.1912176940000001</v>
      </c>
      <c r="O269">
        <v>0.23304122299999999</v>
      </c>
      <c r="P269">
        <f t="shared" si="18"/>
        <v>-1.8953664549254721</v>
      </c>
      <c r="Q269">
        <f t="shared" si="19"/>
        <v>0.13063379961566032</v>
      </c>
      <c r="R269">
        <f>+AVERAGE(O269,H269)</f>
        <v>0.27466049199999998</v>
      </c>
      <c r="S269">
        <f>+AVERAGE(E269,L269)</f>
        <v>-0.28889759549999999</v>
      </c>
      <c r="T269">
        <f>+AVERAGE(G269,N269)</f>
        <v>-0.98106968999999999</v>
      </c>
      <c r="U269">
        <v>0.99999969</v>
      </c>
      <c r="V269" s="1">
        <v>3.7499999999999997E-26</v>
      </c>
      <c r="W269" s="1">
        <v>3.1E-7</v>
      </c>
      <c r="X269" s="1">
        <v>6.3800000000000003E-15</v>
      </c>
    </row>
    <row r="270" spans="1:24" x14ac:dyDescent="0.25">
      <c r="A270" t="s">
        <v>396</v>
      </c>
      <c r="B270" t="s">
        <v>24</v>
      </c>
      <c r="C270" t="s">
        <v>310</v>
      </c>
      <c r="D270">
        <v>-0.57457681100000002</v>
      </c>
      <c r="E270">
        <v>-0.29137004100000002</v>
      </c>
      <c r="F270">
        <v>-4.6370389673564522E-2</v>
      </c>
      <c r="G270">
        <v>-0.86594685199999999</v>
      </c>
      <c r="H270">
        <v>0.29609837700000002</v>
      </c>
      <c r="I270">
        <f t="shared" si="16"/>
        <v>-0.91231724167356454</v>
      </c>
      <c r="J270">
        <f t="shared" si="17"/>
        <v>0.28652589206602608</v>
      </c>
      <c r="K270">
        <v>-0.80976737799999998</v>
      </c>
      <c r="L270">
        <v>-0.925376584</v>
      </c>
      <c r="M270">
        <v>-0.13190576120816735</v>
      </c>
      <c r="N270">
        <v>-1.735143962</v>
      </c>
      <c r="O270">
        <v>0.14993079300000001</v>
      </c>
      <c r="P270">
        <f t="shared" si="18"/>
        <v>-1.8670497232081673</v>
      </c>
      <c r="Q270">
        <f t="shared" si="19"/>
        <v>0.1338834633627812</v>
      </c>
      <c r="R270">
        <f>+AVERAGE(O270,H270)</f>
        <v>0.22301458500000002</v>
      </c>
      <c r="S270">
        <f>+AVERAGE(E270,L270)</f>
        <v>-0.60837331250000004</v>
      </c>
      <c r="T270">
        <f>+AVERAGE(G270,N270)</f>
        <v>-1.300545407</v>
      </c>
      <c r="U270">
        <v>0.99997265099999999</v>
      </c>
      <c r="V270" s="1">
        <v>5.5900000000000002E-26</v>
      </c>
      <c r="W270" s="1">
        <v>2.73E-5</v>
      </c>
      <c r="X270" s="1">
        <v>6.6900000000000002E-16</v>
      </c>
    </row>
    <row r="271" spans="1:24" x14ac:dyDescent="0.25">
      <c r="A271" t="s">
        <v>396</v>
      </c>
      <c r="B271" t="s">
        <v>17</v>
      </c>
      <c r="C271" t="s">
        <v>311</v>
      </c>
      <c r="D271">
        <v>-0.57457681100000002</v>
      </c>
      <c r="E271">
        <v>4.9479956999999998E-2</v>
      </c>
      <c r="F271">
        <v>6.8561155351637995E-2</v>
      </c>
      <c r="G271">
        <v>-0.52509685399999995</v>
      </c>
      <c r="H271">
        <v>0.371661193</v>
      </c>
      <c r="I271">
        <f t="shared" si="16"/>
        <v>-0.45653569864836208</v>
      </c>
      <c r="J271">
        <f t="shared" si="17"/>
        <v>0.38780797349676877</v>
      </c>
      <c r="K271">
        <v>-0.80976737799999998</v>
      </c>
      <c r="L271">
        <v>-0.51542038000000001</v>
      </c>
      <c r="M271">
        <v>-0.32903365650294131</v>
      </c>
      <c r="N271">
        <v>-1.3251877569999999</v>
      </c>
      <c r="O271">
        <v>0.209956481</v>
      </c>
      <c r="P271">
        <f t="shared" si="18"/>
        <v>-1.6542214145029412</v>
      </c>
      <c r="Q271">
        <f t="shared" si="19"/>
        <v>0.16053922923813005</v>
      </c>
      <c r="R271">
        <f>+AVERAGE(O271,H271)</f>
        <v>0.29080883699999999</v>
      </c>
      <c r="S271">
        <f>+AVERAGE(E271,L271)</f>
        <v>-0.2329702115</v>
      </c>
      <c r="T271">
        <f>+AVERAGE(G271,N271)</f>
        <v>-0.92514230549999987</v>
      </c>
      <c r="U271">
        <v>0.999973055</v>
      </c>
      <c r="V271" s="1">
        <v>5.5800000000000001E-27</v>
      </c>
      <c r="W271" s="1">
        <v>2.69E-5</v>
      </c>
      <c r="X271" s="1">
        <v>3.6699999999999997E-17</v>
      </c>
    </row>
    <row r="272" spans="1:24" x14ac:dyDescent="0.25">
      <c r="A272" t="s">
        <v>396</v>
      </c>
      <c r="B272" t="s">
        <v>18</v>
      </c>
      <c r="C272" t="s">
        <v>312</v>
      </c>
      <c r="D272">
        <v>-0.57457681100000002</v>
      </c>
      <c r="E272">
        <v>0.16359009399999999</v>
      </c>
      <c r="F272">
        <v>-0.27945122320506655</v>
      </c>
      <c r="G272">
        <v>-0.410986717</v>
      </c>
      <c r="H272">
        <v>0.39867554900000002</v>
      </c>
      <c r="I272">
        <f t="shared" si="16"/>
        <v>-0.69043794020506655</v>
      </c>
      <c r="J272">
        <f t="shared" si="17"/>
        <v>0.33393565835098149</v>
      </c>
      <c r="K272">
        <v>-0.80976737799999998</v>
      </c>
      <c r="L272">
        <v>0.23921732900000001</v>
      </c>
      <c r="M272">
        <v>-0.27877632987391054</v>
      </c>
      <c r="N272">
        <v>-0.57055004899999995</v>
      </c>
      <c r="O272">
        <v>0.36110991399999998</v>
      </c>
      <c r="P272">
        <f t="shared" si="18"/>
        <v>-0.84932637887391049</v>
      </c>
      <c r="Q272">
        <f t="shared" si="19"/>
        <v>0.29957418401892483</v>
      </c>
      <c r="R272">
        <f>+AVERAGE(O272,H272)</f>
        <v>0.37989273150000002</v>
      </c>
      <c r="S272">
        <f>+AVERAGE(E272,L272)</f>
        <v>0.2014037115</v>
      </c>
      <c r="T272">
        <f>+AVERAGE(G272,N272)</f>
        <v>-0.49076838299999997</v>
      </c>
      <c r="U272">
        <v>0.574621249</v>
      </c>
      <c r="V272" s="1">
        <v>7.2200000000000002E-26</v>
      </c>
      <c r="W272">
        <v>0.425378751</v>
      </c>
      <c r="X272" s="1">
        <v>1.2E-16</v>
      </c>
    </row>
    <row r="273" spans="1:24" x14ac:dyDescent="0.25">
      <c r="A273" t="s">
        <v>396</v>
      </c>
      <c r="B273" t="s">
        <v>21</v>
      </c>
      <c r="C273" t="s">
        <v>313</v>
      </c>
      <c r="D273">
        <v>-0.57457681100000002</v>
      </c>
      <c r="E273">
        <v>1.7825059000000001E-2</v>
      </c>
      <c r="F273">
        <v>9.5030818057487976E-3</v>
      </c>
      <c r="G273">
        <v>-0.55675175300000002</v>
      </c>
      <c r="H273">
        <v>0.36429937400000001</v>
      </c>
      <c r="I273">
        <f t="shared" si="16"/>
        <v>-0.54724867019425127</v>
      </c>
      <c r="J273">
        <f t="shared" si="17"/>
        <v>0.36650297379348434</v>
      </c>
      <c r="K273">
        <v>-0.80976737799999998</v>
      </c>
      <c r="L273">
        <v>-5.1481698999999999E-2</v>
      </c>
      <c r="M273">
        <v>-1.6947105307120725E-2</v>
      </c>
      <c r="N273">
        <v>-0.86124907699999997</v>
      </c>
      <c r="O273">
        <v>0.297078444</v>
      </c>
      <c r="P273">
        <f t="shared" si="18"/>
        <v>-0.87819618230712071</v>
      </c>
      <c r="Q273">
        <f t="shared" si="19"/>
        <v>0.29355171365243304</v>
      </c>
      <c r="R273">
        <f>+AVERAGE(O273,H273)</f>
        <v>0.33068890900000003</v>
      </c>
      <c r="S273">
        <f>+AVERAGE(E273,L273)</f>
        <v>-1.6828320000000001E-2</v>
      </c>
      <c r="T273">
        <f>+AVERAGE(G273,N273)</f>
        <v>-0.70900041499999999</v>
      </c>
      <c r="U273">
        <v>2.7464697E-2</v>
      </c>
      <c r="V273" s="1">
        <v>1.4000000000000001E-26</v>
      </c>
      <c r="W273">
        <v>0.97253530300000002</v>
      </c>
      <c r="X273" s="1">
        <v>1.5799999999999999E-17</v>
      </c>
    </row>
    <row r="274" spans="1:24" x14ac:dyDescent="0.25">
      <c r="A274" t="s">
        <v>396</v>
      </c>
      <c r="B274" t="s">
        <v>21</v>
      </c>
      <c r="C274" t="s">
        <v>314</v>
      </c>
      <c r="D274">
        <v>-0.57457681100000002</v>
      </c>
      <c r="E274">
        <v>0.29755393699999999</v>
      </c>
      <c r="F274">
        <v>9.5030818057487976E-3</v>
      </c>
      <c r="G274">
        <v>-0.27702287399999997</v>
      </c>
      <c r="H274">
        <v>0.43118380899999997</v>
      </c>
      <c r="I274">
        <f t="shared" si="16"/>
        <v>-0.26751979219425126</v>
      </c>
      <c r="J274">
        <f t="shared" si="17"/>
        <v>0.43351608346111226</v>
      </c>
      <c r="K274">
        <v>-0.80976737799999998</v>
      </c>
      <c r="L274">
        <v>0.51540331100000003</v>
      </c>
      <c r="M274">
        <v>-1.6947105307120725E-2</v>
      </c>
      <c r="N274">
        <v>-0.29436406700000001</v>
      </c>
      <c r="O274">
        <v>0.426935809</v>
      </c>
      <c r="P274">
        <f t="shared" si="18"/>
        <v>-0.31131117230712069</v>
      </c>
      <c r="Q274">
        <f t="shared" si="19"/>
        <v>0.42279472888690667</v>
      </c>
      <c r="R274">
        <f>+AVERAGE(O274,H274)</f>
        <v>0.42905980899999996</v>
      </c>
      <c r="S274">
        <f>+AVERAGE(E274,L274)</f>
        <v>0.40647862400000001</v>
      </c>
      <c r="T274">
        <f>+AVERAGE(G274,N274)</f>
        <v>-0.28569347049999999</v>
      </c>
      <c r="U274">
        <v>4.9655752999999997E-2</v>
      </c>
      <c r="V274" s="1">
        <v>7.2799999999999995E-29</v>
      </c>
      <c r="W274">
        <v>0.95034424699999998</v>
      </c>
      <c r="X274" s="1">
        <v>3.8099999999999999E-17</v>
      </c>
    </row>
    <row r="275" spans="1:24" x14ac:dyDescent="0.25">
      <c r="A275" t="s">
        <v>396</v>
      </c>
      <c r="B275" t="s">
        <v>21</v>
      </c>
      <c r="C275" t="s">
        <v>315</v>
      </c>
      <c r="D275">
        <v>-0.57457681100000002</v>
      </c>
      <c r="E275">
        <v>-6.9662146999999994E-2</v>
      </c>
      <c r="F275">
        <v>9.5030818057487976E-3</v>
      </c>
      <c r="G275">
        <v>-0.64423895900000006</v>
      </c>
      <c r="H275">
        <v>0.34428894700000001</v>
      </c>
      <c r="I275">
        <f t="shared" si="16"/>
        <v>-0.6347358761942512</v>
      </c>
      <c r="J275">
        <f t="shared" si="17"/>
        <v>0.3464374692035746</v>
      </c>
      <c r="K275">
        <v>-0.80976737799999998</v>
      </c>
      <c r="L275">
        <v>1.6036911000000001E-2</v>
      </c>
      <c r="M275">
        <v>-1.6947105307120725E-2</v>
      </c>
      <c r="N275">
        <v>-0.79373046700000005</v>
      </c>
      <c r="O275">
        <v>0.31136822800000002</v>
      </c>
      <c r="P275">
        <f t="shared" si="18"/>
        <v>-0.81067757230712068</v>
      </c>
      <c r="Q275">
        <f t="shared" si="19"/>
        <v>0.30774612794436257</v>
      </c>
      <c r="R275">
        <f>+AVERAGE(O275,H275)</f>
        <v>0.32782858749999999</v>
      </c>
      <c r="S275">
        <f>+AVERAGE(E275,L275)</f>
        <v>-2.6812617999999996E-2</v>
      </c>
      <c r="T275">
        <f>+AVERAGE(G275,N275)</f>
        <v>-0.718984713</v>
      </c>
      <c r="U275">
        <v>0.99991426699999997</v>
      </c>
      <c r="V275" s="1">
        <v>1.4900000000000001E-29</v>
      </c>
      <c r="W275" s="1">
        <v>8.5699999999999996E-5</v>
      </c>
      <c r="X275" s="1">
        <v>2.6800000000000002E-15</v>
      </c>
    </row>
    <row r="276" spans="1:24" x14ac:dyDescent="0.25">
      <c r="A276" t="s">
        <v>396</v>
      </c>
      <c r="B276" t="s">
        <v>21</v>
      </c>
      <c r="C276" t="s">
        <v>316</v>
      </c>
      <c r="D276">
        <v>-0.57457681100000002</v>
      </c>
      <c r="E276">
        <v>7.5993502000000004E-2</v>
      </c>
      <c r="F276">
        <v>9.5030818057487976E-3</v>
      </c>
      <c r="G276">
        <v>-0.49858330899999997</v>
      </c>
      <c r="H276">
        <v>0.377873654</v>
      </c>
      <c r="I276">
        <f t="shared" si="16"/>
        <v>-0.48908022719425126</v>
      </c>
      <c r="J276">
        <f t="shared" si="17"/>
        <v>0.38011026654865349</v>
      </c>
      <c r="K276">
        <v>-0.80976737799999998</v>
      </c>
      <c r="L276">
        <v>0.114620861</v>
      </c>
      <c r="M276">
        <v>-1.6947105307120725E-2</v>
      </c>
      <c r="N276">
        <v>-0.69514651699999996</v>
      </c>
      <c r="O276">
        <v>0.33288918499999998</v>
      </c>
      <c r="P276">
        <f t="shared" si="18"/>
        <v>-0.7120936223071207</v>
      </c>
      <c r="Q276">
        <f t="shared" si="19"/>
        <v>0.32913639134434142</v>
      </c>
      <c r="R276">
        <f>+AVERAGE(O276,H276)</f>
        <v>0.35538141950000002</v>
      </c>
      <c r="S276">
        <f>+AVERAGE(E276,L276)</f>
        <v>9.5307181500000004E-2</v>
      </c>
      <c r="T276">
        <f>+AVERAGE(G276,N276)</f>
        <v>-0.596864913</v>
      </c>
      <c r="U276">
        <v>4.0612493999999999E-2</v>
      </c>
      <c r="V276" s="1">
        <v>1.4800000000000001E-26</v>
      </c>
      <c r="W276">
        <v>0.959387506</v>
      </c>
      <c r="X276" s="1">
        <v>6.1600000000000003E-19</v>
      </c>
    </row>
    <row r="277" spans="1:24" x14ac:dyDescent="0.25">
      <c r="A277" t="s">
        <v>396</v>
      </c>
      <c r="B277" t="s">
        <v>17</v>
      </c>
      <c r="C277" t="s">
        <v>317</v>
      </c>
      <c r="D277">
        <v>-0.57457681100000002</v>
      </c>
      <c r="E277">
        <v>-0.22212749200000001</v>
      </c>
      <c r="F277">
        <v>6.8561155351637995E-2</v>
      </c>
      <c r="G277">
        <v>-0.79670430299999995</v>
      </c>
      <c r="H277">
        <v>0.31073094099999998</v>
      </c>
      <c r="I277">
        <f t="shared" si="16"/>
        <v>-0.72814314764836208</v>
      </c>
      <c r="J277">
        <f t="shared" si="17"/>
        <v>0.32560233307155778</v>
      </c>
      <c r="K277">
        <v>-0.80976737799999998</v>
      </c>
      <c r="L277">
        <v>-0.120573557</v>
      </c>
      <c r="M277">
        <v>-0.32903365650294131</v>
      </c>
      <c r="N277">
        <v>-0.93034093500000004</v>
      </c>
      <c r="O277">
        <v>0.28285555099999998</v>
      </c>
      <c r="P277">
        <f t="shared" si="18"/>
        <v>-1.2593745915029413</v>
      </c>
      <c r="Q277">
        <f t="shared" si="19"/>
        <v>0.22108157159727951</v>
      </c>
      <c r="R277">
        <f>+AVERAGE(O277,H277)</f>
        <v>0.29679324600000001</v>
      </c>
      <c r="S277">
        <f>+AVERAGE(E277,L277)</f>
        <v>-0.17135052449999999</v>
      </c>
      <c r="T277">
        <f>+AVERAGE(G277,N277)</f>
        <v>-0.86352261900000005</v>
      </c>
      <c r="U277">
        <v>0.99540214400000004</v>
      </c>
      <c r="V277" s="1">
        <v>8.9499999999999999E-29</v>
      </c>
      <c r="W277">
        <v>4.597856E-3</v>
      </c>
      <c r="X277" s="1">
        <v>3.5600000000000002E-17</v>
      </c>
    </row>
    <row r="278" spans="1:24" x14ac:dyDescent="0.25">
      <c r="A278" t="s">
        <v>396</v>
      </c>
      <c r="B278" t="s">
        <v>20</v>
      </c>
      <c r="C278" t="s">
        <v>318</v>
      </c>
      <c r="D278">
        <v>-0.57457681100000002</v>
      </c>
      <c r="E278">
        <v>0.20803086900000001</v>
      </c>
      <c r="F278">
        <v>-7.2208879421957153E-2</v>
      </c>
      <c r="G278">
        <v>-0.36654594299999999</v>
      </c>
      <c r="H278">
        <v>0.40937590600000001</v>
      </c>
      <c r="I278">
        <f t="shared" si="16"/>
        <v>-0.43875482142195715</v>
      </c>
      <c r="J278">
        <f t="shared" si="17"/>
        <v>0.39203771034587487</v>
      </c>
      <c r="K278">
        <v>-0.80976737799999998</v>
      </c>
      <c r="L278">
        <v>0.63336261599999999</v>
      </c>
      <c r="M278">
        <v>-0.15262980225704867</v>
      </c>
      <c r="N278">
        <v>-0.17640476199999999</v>
      </c>
      <c r="O278">
        <v>0.45601281900000001</v>
      </c>
      <c r="P278">
        <f t="shared" si="18"/>
        <v>-0.32903456425704869</v>
      </c>
      <c r="Q278">
        <f t="shared" si="19"/>
        <v>0.41847554707138612</v>
      </c>
      <c r="R278">
        <f>+AVERAGE(O278,H278)</f>
        <v>0.43269436250000004</v>
      </c>
      <c r="S278">
        <f>+AVERAGE(E278,L278)</f>
        <v>0.4206967425</v>
      </c>
      <c r="T278">
        <f>+AVERAGE(G278,N278)</f>
        <v>-0.27147535249999999</v>
      </c>
      <c r="U278">
        <v>7.3839953E-2</v>
      </c>
      <c r="V278" s="1">
        <v>5.3599999999999997E-26</v>
      </c>
      <c r="W278">
        <v>0.92616004699999999</v>
      </c>
      <c r="X278" s="1">
        <v>3.4899999999999998E-19</v>
      </c>
    </row>
    <row r="279" spans="1:24" x14ac:dyDescent="0.25">
      <c r="A279" t="s">
        <v>396</v>
      </c>
      <c r="B279" t="s">
        <v>23</v>
      </c>
      <c r="C279" t="s">
        <v>319</v>
      </c>
      <c r="D279">
        <v>-0.57457681100000002</v>
      </c>
      <c r="E279">
        <v>-0.161687673</v>
      </c>
      <c r="F279">
        <v>-0.40867213275064479</v>
      </c>
      <c r="G279">
        <v>-0.73626448499999997</v>
      </c>
      <c r="H279">
        <v>0.32382153800000002</v>
      </c>
      <c r="I279">
        <f t="shared" si="16"/>
        <v>-1.1449366167506447</v>
      </c>
      <c r="J279">
        <f t="shared" si="17"/>
        <v>0.24141514555075685</v>
      </c>
      <c r="K279">
        <v>-0.80976737799999998</v>
      </c>
      <c r="L279">
        <v>-0.27230535</v>
      </c>
      <c r="M279">
        <v>-0.70604191684048312</v>
      </c>
      <c r="N279">
        <v>-1.082072728</v>
      </c>
      <c r="O279">
        <v>0.25311397299999999</v>
      </c>
      <c r="P279">
        <f t="shared" si="18"/>
        <v>-1.788114644840483</v>
      </c>
      <c r="Q279">
        <f t="shared" si="19"/>
        <v>0.14330402911157558</v>
      </c>
      <c r="R279">
        <f>+AVERAGE(O279,H279)</f>
        <v>0.28846775550000003</v>
      </c>
      <c r="S279">
        <f>+AVERAGE(E279,L279)</f>
        <v>-0.21699651149999999</v>
      </c>
      <c r="T279">
        <f>+AVERAGE(G279,N279)</f>
        <v>-0.90916860649999998</v>
      </c>
      <c r="U279">
        <v>0.91310420699999995</v>
      </c>
      <c r="V279" s="1">
        <v>2.5099999999999998E-25</v>
      </c>
      <c r="W279">
        <v>8.6895792999999999E-2</v>
      </c>
      <c r="X279" s="1">
        <v>9.5900000000000003E-17</v>
      </c>
    </row>
    <row r="280" spans="1:24" x14ac:dyDescent="0.25">
      <c r="A280" t="s">
        <v>396</v>
      </c>
      <c r="B280" t="s">
        <v>20</v>
      </c>
      <c r="C280" t="s">
        <v>320</v>
      </c>
      <c r="D280">
        <v>-0.57457681100000002</v>
      </c>
      <c r="E280">
        <v>-0.11201680899999999</v>
      </c>
      <c r="F280">
        <v>-7.2208879421957153E-2</v>
      </c>
      <c r="G280">
        <v>-0.68659362000000002</v>
      </c>
      <c r="H280">
        <v>0.334791267</v>
      </c>
      <c r="I280">
        <f t="shared" si="16"/>
        <v>-0.75880249942195721</v>
      </c>
      <c r="J280">
        <f t="shared" si="17"/>
        <v>0.31890631299090039</v>
      </c>
      <c r="K280">
        <v>-0.80976737799999998</v>
      </c>
      <c r="L280">
        <v>-1.0820099590000001</v>
      </c>
      <c r="M280">
        <v>-0.15262980225704867</v>
      </c>
      <c r="N280">
        <v>-1.8917773369999999</v>
      </c>
      <c r="O280">
        <v>0.13104195099999999</v>
      </c>
      <c r="P280">
        <f t="shared" si="18"/>
        <v>-2.0444071392570486</v>
      </c>
      <c r="Q280">
        <f t="shared" si="19"/>
        <v>0.11461872975291477</v>
      </c>
      <c r="R280">
        <f>+AVERAGE(O280,H280)</f>
        <v>0.232916609</v>
      </c>
      <c r="S280">
        <f>+AVERAGE(E280,L280)</f>
        <v>-0.59701338400000004</v>
      </c>
      <c r="T280">
        <f>+AVERAGE(G280,N280)</f>
        <v>-1.2891854784999999</v>
      </c>
      <c r="U280">
        <v>0.99998345799999999</v>
      </c>
      <c r="V280" s="1">
        <v>5.5599999999999999E-25</v>
      </c>
      <c r="W280" s="1">
        <v>1.6500000000000001E-5</v>
      </c>
      <c r="X280" s="1">
        <v>1.6000000000000001E-16</v>
      </c>
    </row>
    <row r="281" spans="1:24" x14ac:dyDescent="0.25">
      <c r="A281" t="s">
        <v>396</v>
      </c>
      <c r="B281" t="s">
        <v>23</v>
      </c>
      <c r="C281" t="s">
        <v>321</v>
      </c>
      <c r="D281">
        <v>-0.57457681100000002</v>
      </c>
      <c r="E281">
        <v>6.6488506000000003E-2</v>
      </c>
      <c r="F281">
        <v>-0.40867213275064479</v>
      </c>
      <c r="G281">
        <v>-0.50808830500000002</v>
      </c>
      <c r="H281">
        <v>0.37564177799999998</v>
      </c>
      <c r="I281">
        <f t="shared" si="16"/>
        <v>-0.91676043775064486</v>
      </c>
      <c r="J281">
        <f t="shared" si="17"/>
        <v>0.28561843702119882</v>
      </c>
      <c r="K281">
        <v>-0.80976737799999998</v>
      </c>
      <c r="L281">
        <v>0.270098212</v>
      </c>
      <c r="M281">
        <v>-0.70604191684048312</v>
      </c>
      <c r="N281">
        <v>-0.53966916600000003</v>
      </c>
      <c r="O281">
        <v>0.36826454600000003</v>
      </c>
      <c r="P281">
        <f t="shared" si="18"/>
        <v>-1.2457110828404829</v>
      </c>
      <c r="Q281">
        <f t="shared" si="19"/>
        <v>0.22344345381371522</v>
      </c>
      <c r="R281">
        <f>+AVERAGE(O281,H281)</f>
        <v>0.371953162</v>
      </c>
      <c r="S281">
        <f>+AVERAGE(E281,L281)</f>
        <v>0.168293359</v>
      </c>
      <c r="T281">
        <f>+AVERAGE(G281,N281)</f>
        <v>-0.52387873550000008</v>
      </c>
      <c r="U281">
        <v>6.3079630999999997E-2</v>
      </c>
      <c r="V281" s="1">
        <v>2.7099999999999998E-26</v>
      </c>
      <c r="W281">
        <v>0.93692036899999998</v>
      </c>
      <c r="X281" s="1">
        <v>4.6200000000000003E-19</v>
      </c>
    </row>
    <row r="282" spans="1:24" x14ac:dyDescent="0.25">
      <c r="A282" t="s">
        <v>396</v>
      </c>
      <c r="B282" t="s">
        <v>20</v>
      </c>
      <c r="C282" t="s">
        <v>322</v>
      </c>
      <c r="D282">
        <v>-0.57457681100000002</v>
      </c>
      <c r="E282">
        <v>0.17125642599999999</v>
      </c>
      <c r="F282">
        <v>-7.2208879421957153E-2</v>
      </c>
      <c r="G282">
        <v>-0.403320385</v>
      </c>
      <c r="H282">
        <v>0.40051484399999998</v>
      </c>
      <c r="I282">
        <f t="shared" si="16"/>
        <v>-0.47552926442195714</v>
      </c>
      <c r="J282">
        <f t="shared" si="17"/>
        <v>0.38330837860777223</v>
      </c>
      <c r="K282">
        <v>-0.80976737799999998</v>
      </c>
      <c r="L282">
        <v>0.72214675800000006</v>
      </c>
      <c r="M282">
        <v>-0.15262980225704867</v>
      </c>
      <c r="N282">
        <v>-8.7620619999999996E-2</v>
      </c>
      <c r="O282">
        <v>0.478108849</v>
      </c>
      <c r="P282">
        <f t="shared" si="18"/>
        <v>-0.2402504222570486</v>
      </c>
      <c r="Q282">
        <f t="shared" si="19"/>
        <v>0.4402246390273088</v>
      </c>
      <c r="R282">
        <f>+AVERAGE(O282,H282)</f>
        <v>0.43931184649999999</v>
      </c>
      <c r="S282">
        <f>+AVERAGE(E282,L282)</f>
        <v>0.44670159200000004</v>
      </c>
      <c r="T282">
        <f>+AVERAGE(G282,N282)</f>
        <v>-0.24547050249999999</v>
      </c>
      <c r="U282">
        <v>0.99941594499999997</v>
      </c>
      <c r="V282" s="1">
        <v>2.9600000000000002E-29</v>
      </c>
      <c r="W282">
        <v>5.8405499999999999E-4</v>
      </c>
      <c r="X282" s="1">
        <v>9.3499999999999993E-15</v>
      </c>
    </row>
    <row r="283" spans="1:24" x14ac:dyDescent="0.25">
      <c r="A283" t="s">
        <v>396</v>
      </c>
      <c r="B283" t="s">
        <v>23</v>
      </c>
      <c r="C283" t="s">
        <v>323</v>
      </c>
      <c r="D283">
        <v>-0.57457681100000002</v>
      </c>
      <c r="E283">
        <v>3.0337187000000002E-2</v>
      </c>
      <c r="F283">
        <v>-0.40867213275064479</v>
      </c>
      <c r="G283">
        <v>-0.544239625</v>
      </c>
      <c r="H283">
        <v>0.36720188999999998</v>
      </c>
      <c r="I283">
        <f t="shared" si="16"/>
        <v>-0.95291175675064488</v>
      </c>
      <c r="J283">
        <f t="shared" si="17"/>
        <v>0.27829962135855996</v>
      </c>
      <c r="K283">
        <v>-0.80976737799999998</v>
      </c>
      <c r="L283">
        <v>0.10525167000000001</v>
      </c>
      <c r="M283">
        <v>-0.70604191684048312</v>
      </c>
      <c r="N283">
        <v>-0.70451570799999996</v>
      </c>
      <c r="O283">
        <v>0.33081179900000002</v>
      </c>
      <c r="P283">
        <f t="shared" si="18"/>
        <v>-1.4105576248404832</v>
      </c>
      <c r="Q283">
        <f t="shared" si="19"/>
        <v>0.19614611918768488</v>
      </c>
      <c r="R283">
        <f>+AVERAGE(O283,H283)</f>
        <v>0.34900684449999997</v>
      </c>
      <c r="S283">
        <f>+AVERAGE(E283,L283)</f>
        <v>6.7794428500000004E-2</v>
      </c>
      <c r="T283">
        <f>+AVERAGE(G283,N283)</f>
        <v>-0.62437766650000004</v>
      </c>
      <c r="U283">
        <v>0.15781521400000001</v>
      </c>
      <c r="V283" s="1">
        <v>3.5799999999999997E-29</v>
      </c>
      <c r="W283">
        <v>0.84218478600000002</v>
      </c>
      <c r="X283" s="1">
        <v>4.7699999999999997E-17</v>
      </c>
    </row>
    <row r="284" spans="1:24" x14ac:dyDescent="0.25">
      <c r="A284" t="s">
        <v>396</v>
      </c>
      <c r="B284" t="s">
        <v>17</v>
      </c>
      <c r="C284" t="s">
        <v>324</v>
      </c>
      <c r="D284">
        <v>-0.57457681100000002</v>
      </c>
      <c r="E284">
        <v>0.103888059</v>
      </c>
      <c r="F284">
        <v>6.8561155351637995E-2</v>
      </c>
      <c r="G284">
        <v>-0.47068875199999999</v>
      </c>
      <c r="H284">
        <v>0.38445323799999997</v>
      </c>
      <c r="I284">
        <f t="shared" si="16"/>
        <v>-0.40212759664836206</v>
      </c>
      <c r="J284">
        <f t="shared" si="17"/>
        <v>0.4008012694311664</v>
      </c>
      <c r="K284">
        <v>-0.80976737799999998</v>
      </c>
      <c r="L284">
        <v>3.3613694999999999E-2</v>
      </c>
      <c r="M284">
        <v>-0.32903365650294131</v>
      </c>
      <c r="N284">
        <v>-0.77615368299999998</v>
      </c>
      <c r="O284">
        <v>0.31514944700000003</v>
      </c>
      <c r="P284">
        <f t="shared" si="18"/>
        <v>-1.1051873395029412</v>
      </c>
      <c r="Q284">
        <f t="shared" si="19"/>
        <v>0.24876920553657669</v>
      </c>
      <c r="R284">
        <f>+AVERAGE(O284,H284)</f>
        <v>0.3498013425</v>
      </c>
      <c r="S284">
        <f>+AVERAGE(E284,L284)</f>
        <v>6.8750877000000002E-2</v>
      </c>
      <c r="T284">
        <f>+AVERAGE(G284,N284)</f>
        <v>-0.62342121750000001</v>
      </c>
      <c r="U284">
        <v>0.99580582799999995</v>
      </c>
      <c r="V284" s="1">
        <v>1.31E-24</v>
      </c>
      <c r="W284">
        <v>4.1941720000000004E-3</v>
      </c>
      <c r="X284" s="1">
        <v>2.9100000000000001E-17</v>
      </c>
    </row>
    <row r="285" spans="1:24" x14ac:dyDescent="0.25">
      <c r="A285" t="s">
        <v>396</v>
      </c>
      <c r="B285" t="s">
        <v>17</v>
      </c>
      <c r="C285" t="s">
        <v>325</v>
      </c>
      <c r="D285">
        <v>-0.57457681100000002</v>
      </c>
      <c r="E285">
        <v>-3.1067502E-2</v>
      </c>
      <c r="F285">
        <v>6.8561155351637995E-2</v>
      </c>
      <c r="G285">
        <v>-0.60564431299999999</v>
      </c>
      <c r="H285">
        <v>0.353053428</v>
      </c>
      <c r="I285">
        <f t="shared" si="16"/>
        <v>-0.53708315764836201</v>
      </c>
      <c r="J285">
        <f t="shared" si="17"/>
        <v>0.36886637463322292</v>
      </c>
      <c r="K285">
        <v>-0.80976737799999998</v>
      </c>
      <c r="L285">
        <v>3.3613694999999999E-2</v>
      </c>
      <c r="M285">
        <v>-0.32903365650294131</v>
      </c>
      <c r="N285">
        <v>-0.77615368299999998</v>
      </c>
      <c r="O285">
        <v>0.31514944700000003</v>
      </c>
      <c r="P285">
        <f t="shared" si="18"/>
        <v>-1.1051873395029412</v>
      </c>
      <c r="Q285">
        <f t="shared" si="19"/>
        <v>0.24876920553657669</v>
      </c>
      <c r="R285">
        <f>+AVERAGE(O285,H285)</f>
        <v>0.33410143749999999</v>
      </c>
      <c r="S285">
        <f>+AVERAGE(E285,L285)</f>
        <v>1.2730964999999993E-3</v>
      </c>
      <c r="T285">
        <f>+AVERAGE(G285,N285)</f>
        <v>-0.69089899799999999</v>
      </c>
      <c r="U285" s="1">
        <v>1.3400000000000001E-6</v>
      </c>
      <c r="V285" s="1">
        <v>2.33E-34</v>
      </c>
      <c r="W285">
        <v>0.99999865899999996</v>
      </c>
      <c r="X285" s="1">
        <v>3.9899999999999998E-23</v>
      </c>
    </row>
    <row r="286" spans="1:24" x14ac:dyDescent="0.25">
      <c r="A286" t="s">
        <v>396</v>
      </c>
      <c r="B286" t="s">
        <v>17</v>
      </c>
      <c r="C286" t="s">
        <v>326</v>
      </c>
      <c r="D286">
        <v>-0.57457681100000002</v>
      </c>
      <c r="E286">
        <v>-7.2258929E-2</v>
      </c>
      <c r="F286">
        <v>6.8561155351637995E-2</v>
      </c>
      <c r="G286">
        <v>-0.64683574099999996</v>
      </c>
      <c r="H286">
        <v>0.34370295000000001</v>
      </c>
      <c r="I286">
        <f t="shared" si="16"/>
        <v>-0.57827458464836201</v>
      </c>
      <c r="J286">
        <f t="shared" si="17"/>
        <v>0.35932970827406424</v>
      </c>
      <c r="K286">
        <v>-0.80976737799999998</v>
      </c>
      <c r="L286">
        <v>0.28199806900000002</v>
      </c>
      <c r="M286">
        <v>-0.32903365650294131</v>
      </c>
      <c r="N286">
        <v>-0.52776930899999996</v>
      </c>
      <c r="O286">
        <v>0.37103731099999998</v>
      </c>
      <c r="P286">
        <f t="shared" si="18"/>
        <v>-0.85680296550294122</v>
      </c>
      <c r="Q286">
        <f t="shared" si="19"/>
        <v>0.29800773027194594</v>
      </c>
      <c r="R286">
        <f>+AVERAGE(O286,H286)</f>
        <v>0.35737013049999999</v>
      </c>
      <c r="S286">
        <f>+AVERAGE(E286,L286)</f>
        <v>0.10486957000000001</v>
      </c>
      <c r="T286">
        <f>+AVERAGE(G286,N286)</f>
        <v>-0.58730252499999991</v>
      </c>
      <c r="U286">
        <v>0.97404466099999998</v>
      </c>
      <c r="V286" s="1">
        <v>9.63E-29</v>
      </c>
      <c r="W286">
        <v>2.5955339000000001E-2</v>
      </c>
      <c r="X286" s="1">
        <v>8.8E-16</v>
      </c>
    </row>
    <row r="287" spans="1:24" x14ac:dyDescent="0.25">
      <c r="A287" t="s">
        <v>396</v>
      </c>
      <c r="B287" t="s">
        <v>18</v>
      </c>
      <c r="C287" t="s">
        <v>327</v>
      </c>
      <c r="D287">
        <v>-0.57457681100000002</v>
      </c>
      <c r="E287">
        <v>-5.1626999999999999E-4</v>
      </c>
      <c r="F287">
        <v>-0.27945122320506655</v>
      </c>
      <c r="G287">
        <v>-0.57509308100000001</v>
      </c>
      <c r="H287">
        <v>0.360062455</v>
      </c>
      <c r="I287">
        <f t="shared" si="16"/>
        <v>-0.85454430420506655</v>
      </c>
      <c r="J287">
        <f t="shared" si="17"/>
        <v>0.29848045570610648</v>
      </c>
      <c r="K287">
        <v>-0.80976737799999998</v>
      </c>
      <c r="L287">
        <v>-0.162036238</v>
      </c>
      <c r="M287">
        <v>-0.27877632987391054</v>
      </c>
      <c r="N287">
        <v>-0.97180361599999998</v>
      </c>
      <c r="O287">
        <v>0.27452114900000002</v>
      </c>
      <c r="P287">
        <f t="shared" si="18"/>
        <v>-1.2505799458739104</v>
      </c>
      <c r="Q287">
        <f t="shared" si="19"/>
        <v>0.22259976356339195</v>
      </c>
      <c r="R287">
        <f>+AVERAGE(O287,H287)</f>
        <v>0.31729180200000001</v>
      </c>
      <c r="S287">
        <f>+AVERAGE(E287,L287)</f>
        <v>-8.1276254000000006E-2</v>
      </c>
      <c r="T287">
        <f>+AVERAGE(G287,N287)</f>
        <v>-0.77344834849999999</v>
      </c>
      <c r="U287">
        <v>0.92844463600000005</v>
      </c>
      <c r="V287" s="1">
        <v>9.4099999999999998E-26</v>
      </c>
      <c r="W287">
        <v>7.1555363999999996E-2</v>
      </c>
      <c r="X287" s="1">
        <v>1.09E-15</v>
      </c>
    </row>
    <row r="288" spans="1:24" x14ac:dyDescent="0.25">
      <c r="A288" t="s">
        <v>396</v>
      </c>
      <c r="B288" t="s">
        <v>17</v>
      </c>
      <c r="C288" t="s">
        <v>328</v>
      </c>
      <c r="D288">
        <v>-0.57457681100000002</v>
      </c>
      <c r="E288">
        <v>-1.2330304E-2</v>
      </c>
      <c r="F288">
        <v>6.8561155351637995E-2</v>
      </c>
      <c r="G288">
        <v>-0.58690711600000001</v>
      </c>
      <c r="H288">
        <v>0.35734482000000001</v>
      </c>
      <c r="I288">
        <f t="shared" si="16"/>
        <v>-0.51834595964836205</v>
      </c>
      <c r="J288">
        <f t="shared" si="17"/>
        <v>0.37323908491079016</v>
      </c>
      <c r="K288">
        <v>-0.80976737799999998</v>
      </c>
      <c r="L288">
        <v>-0.120573557</v>
      </c>
      <c r="M288">
        <v>-0.32903365650294131</v>
      </c>
      <c r="N288">
        <v>-0.93034093500000004</v>
      </c>
      <c r="O288">
        <v>0.28285555099999998</v>
      </c>
      <c r="P288">
        <f t="shared" si="18"/>
        <v>-1.2593745915029413</v>
      </c>
      <c r="Q288">
        <f t="shared" si="19"/>
        <v>0.22108157159727951</v>
      </c>
      <c r="R288">
        <f>+AVERAGE(O288,H288)</f>
        <v>0.32010018549999997</v>
      </c>
      <c r="S288">
        <f>+AVERAGE(E288,L288)</f>
        <v>-6.6451930500000006E-2</v>
      </c>
      <c r="T288">
        <f>+AVERAGE(G288,N288)</f>
        <v>-0.75862402550000008</v>
      </c>
      <c r="U288">
        <v>0.25975867400000002</v>
      </c>
      <c r="V288" s="1">
        <v>2.2499999999999999E-26</v>
      </c>
      <c r="W288">
        <v>0.74024132600000003</v>
      </c>
      <c r="X288" s="1">
        <v>1.23E-16</v>
      </c>
    </row>
    <row r="289" spans="1:24" x14ac:dyDescent="0.25">
      <c r="A289" t="s">
        <v>396</v>
      </c>
      <c r="B289" t="s">
        <v>18</v>
      </c>
      <c r="C289" t="s">
        <v>329</v>
      </c>
      <c r="D289">
        <v>-0.57457681100000002</v>
      </c>
      <c r="E289">
        <v>-3.7396791999999998E-2</v>
      </c>
      <c r="F289">
        <v>-0.27945122320506655</v>
      </c>
      <c r="G289">
        <v>-0.61197360300000003</v>
      </c>
      <c r="H289">
        <v>0.351609124</v>
      </c>
      <c r="I289">
        <f t="shared" si="16"/>
        <v>-0.89142482620506658</v>
      </c>
      <c r="J289">
        <f t="shared" si="17"/>
        <v>0.29081588086022298</v>
      </c>
      <c r="K289">
        <v>-0.80976737799999998</v>
      </c>
      <c r="L289">
        <v>-8.42415E-3</v>
      </c>
      <c r="M289">
        <v>-0.27877632987391054</v>
      </c>
      <c r="N289">
        <v>-0.81819152799999995</v>
      </c>
      <c r="O289">
        <v>0.306147683</v>
      </c>
      <c r="P289">
        <f t="shared" si="18"/>
        <v>-1.0969678578739104</v>
      </c>
      <c r="Q289">
        <f t="shared" si="19"/>
        <v>0.25030845751366121</v>
      </c>
      <c r="R289">
        <f>+AVERAGE(O289,H289)</f>
        <v>0.32887840349999997</v>
      </c>
      <c r="S289">
        <f>+AVERAGE(E289,L289)</f>
        <v>-2.2910470999999998E-2</v>
      </c>
      <c r="T289">
        <f>+AVERAGE(G289,N289)</f>
        <v>-0.71508256549999993</v>
      </c>
      <c r="U289">
        <v>3.4949760000000003E-2</v>
      </c>
      <c r="V289" s="1">
        <v>7.5599999999999995E-29</v>
      </c>
      <c r="W289">
        <v>0.96505023999999995</v>
      </c>
      <c r="X289" s="1">
        <v>3.12E-17</v>
      </c>
    </row>
    <row r="290" spans="1:24" x14ac:dyDescent="0.25">
      <c r="A290" t="s">
        <v>396</v>
      </c>
      <c r="B290" t="s">
        <v>19</v>
      </c>
      <c r="C290" t="s">
        <v>330</v>
      </c>
      <c r="D290">
        <v>-0.57457681100000002</v>
      </c>
      <c r="E290">
        <v>0.21901425399999999</v>
      </c>
      <c r="F290">
        <v>-0.56248729144923193</v>
      </c>
      <c r="G290">
        <v>-0.355562557</v>
      </c>
      <c r="H290">
        <v>0.41203416900000001</v>
      </c>
      <c r="I290">
        <f t="shared" si="16"/>
        <v>-0.91804984844923199</v>
      </c>
      <c r="J290">
        <f t="shared" si="17"/>
        <v>0.28535541770073214</v>
      </c>
      <c r="K290">
        <v>-0.80976737799999998</v>
      </c>
      <c r="L290">
        <v>0.22851738799999999</v>
      </c>
      <c r="M290">
        <v>-0.70414875992547199</v>
      </c>
      <c r="N290">
        <v>-0.58124998999999999</v>
      </c>
      <c r="O290">
        <v>0.35864502199999998</v>
      </c>
      <c r="P290">
        <f t="shared" si="18"/>
        <v>-1.285398749925472</v>
      </c>
      <c r="Q290">
        <f t="shared" si="19"/>
        <v>0.21663263833086829</v>
      </c>
      <c r="R290">
        <f>+AVERAGE(O290,H290)</f>
        <v>0.38533959549999997</v>
      </c>
      <c r="S290">
        <f>+AVERAGE(E290,L290)</f>
        <v>0.22376582099999998</v>
      </c>
      <c r="T290">
        <f>+AVERAGE(G290,N290)</f>
        <v>-0.46840627349999997</v>
      </c>
      <c r="U290">
        <v>0.996195002</v>
      </c>
      <c r="V290" s="1">
        <v>9.1000000000000001E-27</v>
      </c>
      <c r="W290">
        <v>3.804998E-3</v>
      </c>
      <c r="X290" s="1">
        <v>7.8500000000000006E-17</v>
      </c>
    </row>
    <row r="291" spans="1:24" x14ac:dyDescent="0.25">
      <c r="A291" t="s">
        <v>396</v>
      </c>
      <c r="B291" t="s">
        <v>19</v>
      </c>
      <c r="C291" t="s">
        <v>331</v>
      </c>
      <c r="D291">
        <v>-0.57457681100000002</v>
      </c>
      <c r="E291">
        <v>9.6590419999999996E-3</v>
      </c>
      <c r="F291">
        <v>-0.56248729144923193</v>
      </c>
      <c r="G291">
        <v>-0.56491776999999999</v>
      </c>
      <c r="H291">
        <v>0.36241034799999999</v>
      </c>
      <c r="I291">
        <f t="shared" si="16"/>
        <v>-1.1274050604492318</v>
      </c>
      <c r="J291">
        <f t="shared" si="17"/>
        <v>0.24464030567593392</v>
      </c>
      <c r="K291">
        <v>-0.80976737799999998</v>
      </c>
      <c r="L291">
        <v>-0.123277737</v>
      </c>
      <c r="M291">
        <v>-0.70414875992547199</v>
      </c>
      <c r="N291">
        <v>-0.93304511499999998</v>
      </c>
      <c r="O291">
        <v>0.28230733499999999</v>
      </c>
      <c r="P291">
        <f t="shared" si="18"/>
        <v>-1.637193874925472</v>
      </c>
      <c r="Q291">
        <f t="shared" si="19"/>
        <v>0.16284725423332438</v>
      </c>
      <c r="R291">
        <f>+AVERAGE(O291,H291)</f>
        <v>0.32235884149999999</v>
      </c>
      <c r="S291">
        <f>+AVERAGE(E291,L291)</f>
        <v>-5.6809347499999996E-2</v>
      </c>
      <c r="T291">
        <f>+AVERAGE(G291,N291)</f>
        <v>-0.74898144249999998</v>
      </c>
      <c r="U291">
        <v>0.26531809299999998</v>
      </c>
      <c r="V291" s="1">
        <v>6.7700000000000001E-28</v>
      </c>
      <c r="W291">
        <v>0.73468190700000002</v>
      </c>
      <c r="X291" s="1">
        <v>4.5200000000000005E-16</v>
      </c>
    </row>
    <row r="292" spans="1:24" x14ac:dyDescent="0.25">
      <c r="A292" t="s">
        <v>396</v>
      </c>
      <c r="B292" t="s">
        <v>25</v>
      </c>
      <c r="C292" t="s">
        <v>332</v>
      </c>
      <c r="D292">
        <v>-0.57457681100000002</v>
      </c>
      <c r="E292">
        <v>5.1912102000000002E-2</v>
      </c>
      <c r="F292">
        <v>-9.2997517450181935E-2</v>
      </c>
      <c r="G292">
        <v>-0.52266470899999995</v>
      </c>
      <c r="H292">
        <v>0.37222934699999999</v>
      </c>
      <c r="I292">
        <f t="shared" si="16"/>
        <v>-0.61566222645018198</v>
      </c>
      <c r="J292">
        <f t="shared" si="17"/>
        <v>0.3507686520231254</v>
      </c>
      <c r="K292">
        <v>-0.80976737799999998</v>
      </c>
      <c r="L292">
        <v>3.1969829999999998E-2</v>
      </c>
      <c r="M292">
        <v>-0.11517847013335669</v>
      </c>
      <c r="N292">
        <v>-0.77779754800000001</v>
      </c>
      <c r="O292">
        <v>0.31479475899999998</v>
      </c>
      <c r="P292">
        <f t="shared" si="18"/>
        <v>-0.8929760181333567</v>
      </c>
      <c r="Q292">
        <f t="shared" si="19"/>
        <v>0.29049606376776621</v>
      </c>
      <c r="R292">
        <f>+AVERAGE(O292,H292)</f>
        <v>0.34351205299999998</v>
      </c>
      <c r="S292">
        <f>+AVERAGE(E292,L292)</f>
        <v>4.1940965999999996E-2</v>
      </c>
      <c r="T292">
        <f>+AVERAGE(G292,N292)</f>
        <v>-0.65023112849999998</v>
      </c>
      <c r="U292">
        <v>0.82970938500000002</v>
      </c>
      <c r="V292" s="1">
        <v>2.5900000000000001E-26</v>
      </c>
      <c r="W292">
        <v>0.17029061500000001</v>
      </c>
      <c r="X292" s="1">
        <v>6.4600000000000004E-16</v>
      </c>
    </row>
    <row r="293" spans="1:24" x14ac:dyDescent="0.25">
      <c r="A293" t="s">
        <v>396</v>
      </c>
      <c r="B293" t="s">
        <v>24</v>
      </c>
      <c r="C293" t="s">
        <v>333</v>
      </c>
      <c r="D293">
        <v>-0.57457681100000002</v>
      </c>
      <c r="E293">
        <v>2.8254623E-2</v>
      </c>
      <c r="F293">
        <v>-4.6370389673564522E-2</v>
      </c>
      <c r="G293">
        <v>-0.54632218799999999</v>
      </c>
      <c r="H293">
        <v>0.36671810999999999</v>
      </c>
      <c r="I293">
        <f t="shared" si="16"/>
        <v>-0.59269257767356454</v>
      </c>
      <c r="J293">
        <f t="shared" si="17"/>
        <v>0.35601729072354787</v>
      </c>
      <c r="K293">
        <v>-0.80976737799999998</v>
      </c>
      <c r="L293">
        <v>0.11408792299999999</v>
      </c>
      <c r="M293">
        <v>-0.13190576120816735</v>
      </c>
      <c r="N293">
        <v>-0.69567945499999995</v>
      </c>
      <c r="O293">
        <v>0.33277084299999998</v>
      </c>
      <c r="P293">
        <f t="shared" si="18"/>
        <v>-0.82758521620816727</v>
      </c>
      <c r="Q293">
        <f t="shared" si="19"/>
        <v>0.30415590547761923</v>
      </c>
      <c r="R293">
        <f>+AVERAGE(O293,H293)</f>
        <v>0.34974447649999996</v>
      </c>
      <c r="S293">
        <f>+AVERAGE(E293,L293)</f>
        <v>7.1171272999999993E-2</v>
      </c>
      <c r="T293">
        <f>+AVERAGE(G293,N293)</f>
        <v>-0.62100082150000002</v>
      </c>
      <c r="U293">
        <v>0.99529591900000003</v>
      </c>
      <c r="V293" s="1">
        <v>3.6100000000000001E-26</v>
      </c>
      <c r="W293">
        <v>4.7040809999999997E-3</v>
      </c>
      <c r="X293" s="1">
        <v>3.3E-17</v>
      </c>
    </row>
    <row r="294" spans="1:24" x14ac:dyDescent="0.25">
      <c r="A294" t="s">
        <v>396</v>
      </c>
      <c r="B294" t="s">
        <v>24</v>
      </c>
      <c r="C294" t="s">
        <v>334</v>
      </c>
      <c r="D294">
        <v>-0.57457681100000002</v>
      </c>
      <c r="E294">
        <v>8.0609165999999996E-2</v>
      </c>
      <c r="F294">
        <v>-4.6370389673564522E-2</v>
      </c>
      <c r="G294">
        <v>-0.49396764599999998</v>
      </c>
      <c r="H294">
        <v>0.37895933799999998</v>
      </c>
      <c r="I294">
        <f t="shared" si="16"/>
        <v>-0.54033803467356456</v>
      </c>
      <c r="J294">
        <f t="shared" si="17"/>
        <v>0.36810895028786306</v>
      </c>
      <c r="K294">
        <v>-0.80976737799999998</v>
      </c>
      <c r="L294">
        <v>0.277639103</v>
      </c>
      <c r="M294">
        <v>-0.13190576120816735</v>
      </c>
      <c r="N294">
        <v>-0.53212827500000004</v>
      </c>
      <c r="O294">
        <v>0.37002063899999998</v>
      </c>
      <c r="P294">
        <f t="shared" si="18"/>
        <v>-0.66403403620816737</v>
      </c>
      <c r="Q294">
        <f t="shared" si="19"/>
        <v>0.33983400431839789</v>
      </c>
      <c r="R294">
        <f>+AVERAGE(O294,H294)</f>
        <v>0.37448998849999998</v>
      </c>
      <c r="S294">
        <f>+AVERAGE(E294,L294)</f>
        <v>0.1791241345</v>
      </c>
      <c r="T294">
        <f>+AVERAGE(G294,N294)</f>
        <v>-0.51304796050000001</v>
      </c>
      <c r="U294" s="1">
        <v>8.0499999999999992E-6</v>
      </c>
      <c r="V294" s="1">
        <v>3.63E-32</v>
      </c>
      <c r="W294">
        <v>0.99999195200000002</v>
      </c>
      <c r="X294" s="1">
        <v>6.7999999999999997E-22</v>
      </c>
    </row>
    <row r="295" spans="1:24" x14ac:dyDescent="0.25">
      <c r="A295" t="s">
        <v>396</v>
      </c>
      <c r="B295" t="s">
        <v>24</v>
      </c>
      <c r="C295" t="s">
        <v>335</v>
      </c>
      <c r="D295">
        <v>-0.57457681100000002</v>
      </c>
      <c r="E295">
        <v>0.23943182599999999</v>
      </c>
      <c r="F295">
        <v>-4.6370389673564522E-2</v>
      </c>
      <c r="G295">
        <v>-0.33514498500000001</v>
      </c>
      <c r="H295">
        <v>0.41698929800000001</v>
      </c>
      <c r="I295">
        <f t="shared" si="16"/>
        <v>-0.38151537467356456</v>
      </c>
      <c r="J295">
        <f t="shared" si="17"/>
        <v>0.4057614591752623</v>
      </c>
      <c r="K295">
        <v>-0.80976737799999998</v>
      </c>
      <c r="L295">
        <v>0.55557570300000003</v>
      </c>
      <c r="M295">
        <v>-0.13190576120816735</v>
      </c>
      <c r="N295">
        <v>-0.25419167500000001</v>
      </c>
      <c r="O295">
        <v>0.43679205500000001</v>
      </c>
      <c r="P295">
        <f t="shared" si="18"/>
        <v>-0.38609743620816728</v>
      </c>
      <c r="Q295">
        <f t="shared" si="19"/>
        <v>0.4046571154289999</v>
      </c>
      <c r="R295">
        <f>+AVERAGE(O295,H295)</f>
        <v>0.42689067650000001</v>
      </c>
      <c r="S295">
        <f>+AVERAGE(E295,L295)</f>
        <v>0.39750376450000002</v>
      </c>
      <c r="T295">
        <f>+AVERAGE(G295,N295)</f>
        <v>-0.29466833000000003</v>
      </c>
      <c r="U295" s="1">
        <v>1.9E-6</v>
      </c>
      <c r="V295" s="1">
        <v>2.6800000000000001E-33</v>
      </c>
      <c r="W295">
        <v>0.99999810099999997</v>
      </c>
      <c r="X295" s="1">
        <v>2.2799999999999999E-21</v>
      </c>
    </row>
    <row r="296" spans="1:24" x14ac:dyDescent="0.25">
      <c r="A296" t="s">
        <v>396</v>
      </c>
      <c r="B296" t="s">
        <v>26</v>
      </c>
      <c r="C296" t="s">
        <v>336</v>
      </c>
      <c r="D296">
        <v>-0.57457681100000002</v>
      </c>
      <c r="E296">
        <v>-0.196236572</v>
      </c>
      <c r="F296">
        <v>0</v>
      </c>
      <c r="G296">
        <v>-0.77081338300000002</v>
      </c>
      <c r="H296">
        <v>0.31630318099999999</v>
      </c>
      <c r="I296">
        <f t="shared" si="16"/>
        <v>-0.77081338300000002</v>
      </c>
      <c r="J296">
        <f t="shared" si="17"/>
        <v>0.31630318145726632</v>
      </c>
      <c r="K296">
        <v>-0.80976737799999998</v>
      </c>
      <c r="L296">
        <v>-0.20589854099999999</v>
      </c>
      <c r="M296">
        <v>0</v>
      </c>
      <c r="N296">
        <v>-1.0156659189999999</v>
      </c>
      <c r="O296">
        <v>0.26587248600000002</v>
      </c>
      <c r="P296">
        <f t="shared" si="18"/>
        <v>-1.0156659189999999</v>
      </c>
      <c r="Q296">
        <f t="shared" si="19"/>
        <v>0.26587248627663107</v>
      </c>
      <c r="R296">
        <f>+AVERAGE(O296,H296)</f>
        <v>0.2910878335</v>
      </c>
      <c r="S296">
        <f>+AVERAGE(E296,L296)</f>
        <v>-0.20106755649999999</v>
      </c>
      <c r="T296">
        <f>+AVERAGE(G296,N296)</f>
        <v>-0.89323965100000002</v>
      </c>
      <c r="U296">
        <v>0.50080368799999997</v>
      </c>
      <c r="V296" s="1">
        <v>2.8099999999999998E-23</v>
      </c>
      <c r="W296">
        <v>0.49919631199999998</v>
      </c>
      <c r="X296" s="1">
        <v>3.25E-19</v>
      </c>
    </row>
    <row r="297" spans="1:24" x14ac:dyDescent="0.25">
      <c r="A297" t="s">
        <v>396</v>
      </c>
      <c r="B297" t="s">
        <v>26</v>
      </c>
      <c r="C297" t="s">
        <v>337</v>
      </c>
      <c r="D297">
        <v>-0.57457681100000002</v>
      </c>
      <c r="E297">
        <v>0.26092612500000001</v>
      </c>
      <c r="F297">
        <v>0</v>
      </c>
      <c r="G297">
        <v>-0.31365068699999998</v>
      </c>
      <c r="H297">
        <v>0.42222389900000001</v>
      </c>
      <c r="I297">
        <f t="shared" si="16"/>
        <v>-0.31365068600000001</v>
      </c>
      <c r="J297">
        <f t="shared" si="17"/>
        <v>0.42222389886034839</v>
      </c>
      <c r="K297">
        <v>-0.80976737799999998</v>
      </c>
      <c r="L297">
        <v>0.25836736199999999</v>
      </c>
      <c r="M297">
        <v>0</v>
      </c>
      <c r="N297">
        <v>-0.55140001500000002</v>
      </c>
      <c r="O297">
        <v>0.36553965599999999</v>
      </c>
      <c r="P297">
        <f t="shared" si="18"/>
        <v>-0.55140001599999999</v>
      </c>
      <c r="Q297">
        <f t="shared" si="19"/>
        <v>0.36553965561568436</v>
      </c>
      <c r="R297">
        <f>+AVERAGE(O297,H297)</f>
        <v>0.39388177749999997</v>
      </c>
      <c r="S297">
        <f>+AVERAGE(E297,L297)</f>
        <v>0.2596467435</v>
      </c>
      <c r="T297">
        <f>+AVERAGE(G297,N297)</f>
        <v>-0.432525351</v>
      </c>
      <c r="U297">
        <v>0.99987416100000004</v>
      </c>
      <c r="V297" s="1">
        <v>5.4000000000000001E-24</v>
      </c>
      <c r="W297">
        <v>1.2583900000000001E-4</v>
      </c>
      <c r="X297" s="1">
        <v>1.4300000000000001E-18</v>
      </c>
    </row>
    <row r="298" spans="1:24" x14ac:dyDescent="0.25">
      <c r="A298" t="s">
        <v>396</v>
      </c>
      <c r="B298" t="s">
        <v>26</v>
      </c>
      <c r="C298" t="s">
        <v>338</v>
      </c>
      <c r="D298">
        <v>-0.57457681100000002</v>
      </c>
      <c r="E298">
        <v>0.104620937</v>
      </c>
      <c r="F298">
        <v>0</v>
      </c>
      <c r="G298">
        <v>-0.469955874</v>
      </c>
      <c r="H298">
        <v>0.38462668799999999</v>
      </c>
      <c r="I298">
        <f t="shared" si="16"/>
        <v>-0.46995587400000005</v>
      </c>
      <c r="J298">
        <f t="shared" si="17"/>
        <v>0.38462668769440705</v>
      </c>
      <c r="K298">
        <v>-0.80976737799999998</v>
      </c>
      <c r="L298">
        <v>0.35052374400000003</v>
      </c>
      <c r="M298">
        <v>0</v>
      </c>
      <c r="N298">
        <v>-0.45924363400000001</v>
      </c>
      <c r="O298">
        <v>0.38716527000000001</v>
      </c>
      <c r="P298">
        <f t="shared" si="18"/>
        <v>-0.45924363399999996</v>
      </c>
      <c r="Q298">
        <f t="shared" si="19"/>
        <v>0.3871652702303427</v>
      </c>
      <c r="R298">
        <f>+AVERAGE(O298,H298)</f>
        <v>0.385895979</v>
      </c>
      <c r="S298">
        <f>+AVERAGE(E298,L298)</f>
        <v>0.22757234050000003</v>
      </c>
      <c r="T298">
        <f>+AVERAGE(G298,N298)</f>
        <v>-0.46459975399999998</v>
      </c>
      <c r="U298">
        <v>0.99381326800000003</v>
      </c>
      <c r="V298" s="1">
        <v>6.0400000000000002E-30</v>
      </c>
      <c r="W298">
        <v>6.1867320000000003E-3</v>
      </c>
      <c r="X298" s="1">
        <v>4.8299999999999997E-17</v>
      </c>
    </row>
    <row r="299" spans="1:24" x14ac:dyDescent="0.25">
      <c r="A299" t="s">
        <v>396</v>
      </c>
      <c r="B299" t="s">
        <v>26</v>
      </c>
      <c r="C299" t="s">
        <v>339</v>
      </c>
      <c r="D299">
        <v>-0.57457681100000002</v>
      </c>
      <c r="E299">
        <v>0.31295519300000002</v>
      </c>
      <c r="F299">
        <v>0</v>
      </c>
      <c r="G299">
        <v>-0.261621618</v>
      </c>
      <c r="H299">
        <v>0.43496511999999998</v>
      </c>
      <c r="I299">
        <f t="shared" si="16"/>
        <v>-0.261621618</v>
      </c>
      <c r="J299">
        <f t="shared" si="17"/>
        <v>0.4349651204395561</v>
      </c>
      <c r="K299">
        <v>-0.80976737799999998</v>
      </c>
      <c r="L299">
        <v>0.16419451900000001</v>
      </c>
      <c r="M299">
        <v>0</v>
      </c>
      <c r="N299">
        <v>-0.64557285900000005</v>
      </c>
      <c r="O299">
        <v>0.34398787600000003</v>
      </c>
      <c r="P299">
        <f t="shared" si="18"/>
        <v>-0.64557285899999994</v>
      </c>
      <c r="Q299">
        <f t="shared" si="19"/>
        <v>0.34398787575501438</v>
      </c>
      <c r="R299">
        <f>+AVERAGE(O299,H299)</f>
        <v>0.389476498</v>
      </c>
      <c r="S299">
        <f>+AVERAGE(E299,L299)</f>
        <v>0.238574856</v>
      </c>
      <c r="T299">
        <f>+AVERAGE(G299,N299)</f>
        <v>-0.4535972385</v>
      </c>
      <c r="U299">
        <v>0.96452675499999996</v>
      </c>
      <c r="V299" s="1">
        <v>4.6000000000000002E-26</v>
      </c>
      <c r="W299">
        <v>3.5473245E-2</v>
      </c>
      <c r="X299" s="1">
        <v>5.4499999999999998E-16</v>
      </c>
    </row>
    <row r="300" spans="1:24" x14ac:dyDescent="0.25">
      <c r="A300" t="s">
        <v>396</v>
      </c>
      <c r="B300" t="s">
        <v>24</v>
      </c>
      <c r="C300" t="s">
        <v>340</v>
      </c>
      <c r="D300">
        <v>-0.57457681100000002</v>
      </c>
      <c r="E300">
        <v>-2.1664749000000001E-2</v>
      </c>
      <c r="F300">
        <v>-4.6370389673564522E-2</v>
      </c>
      <c r="G300">
        <v>-0.59624156100000003</v>
      </c>
      <c r="H300">
        <v>0.35520403499999997</v>
      </c>
      <c r="I300">
        <f t="shared" si="16"/>
        <v>-0.64261194967356461</v>
      </c>
      <c r="J300">
        <f t="shared" si="17"/>
        <v>0.34465634349851482</v>
      </c>
      <c r="K300">
        <v>-0.80976737799999998</v>
      </c>
      <c r="L300">
        <v>-0.40459446599999999</v>
      </c>
      <c r="M300">
        <v>-0.13190576120816735</v>
      </c>
      <c r="N300">
        <v>-1.2143618430000001</v>
      </c>
      <c r="O300">
        <v>0.22893018300000001</v>
      </c>
      <c r="P300">
        <f t="shared" si="18"/>
        <v>-1.3462676052081672</v>
      </c>
      <c r="Q300">
        <f t="shared" si="19"/>
        <v>0.2064812425812815</v>
      </c>
      <c r="R300">
        <f>+AVERAGE(O300,H300)</f>
        <v>0.29206710899999999</v>
      </c>
      <c r="S300">
        <f>+AVERAGE(E300,L300)</f>
        <v>-0.21312960749999998</v>
      </c>
      <c r="T300">
        <f>+AVERAGE(G300,N300)</f>
        <v>-0.90530170200000004</v>
      </c>
      <c r="U300">
        <v>0.99881641200000004</v>
      </c>
      <c r="V300" s="1">
        <v>7.8499999999999996E-26</v>
      </c>
      <c r="W300">
        <v>1.183588E-3</v>
      </c>
      <c r="X300" s="1">
        <v>1.01E-16</v>
      </c>
    </row>
    <row r="301" spans="1:24" x14ac:dyDescent="0.25">
      <c r="A301" t="s">
        <v>396</v>
      </c>
      <c r="B301" t="s">
        <v>26</v>
      </c>
      <c r="C301" t="s">
        <v>341</v>
      </c>
      <c r="D301">
        <v>-0.57457681100000002</v>
      </c>
      <c r="E301">
        <v>6.3981472999999997E-2</v>
      </c>
      <c r="F301">
        <v>0</v>
      </c>
      <c r="G301">
        <v>-0.51059533899999998</v>
      </c>
      <c r="H301">
        <v>0.37505397499999998</v>
      </c>
      <c r="I301">
        <f t="shared" si="16"/>
        <v>-0.51059533800000001</v>
      </c>
      <c r="J301">
        <f t="shared" si="17"/>
        <v>0.37505397477986852</v>
      </c>
      <c r="K301">
        <v>-0.80976737799999998</v>
      </c>
      <c r="L301">
        <v>0.28929042999999999</v>
      </c>
      <c r="M301">
        <v>0</v>
      </c>
      <c r="N301">
        <v>-0.52047694700000002</v>
      </c>
      <c r="O301">
        <v>0.37274071399999997</v>
      </c>
      <c r="P301">
        <f t="shared" si="18"/>
        <v>-0.52047694799999999</v>
      </c>
      <c r="Q301">
        <f t="shared" si="19"/>
        <v>0.37274071405761455</v>
      </c>
      <c r="R301">
        <f>+AVERAGE(O301,H301)</f>
        <v>0.37389734450000001</v>
      </c>
      <c r="S301">
        <f>+AVERAGE(E301,L301)</f>
        <v>0.1766359515</v>
      </c>
      <c r="T301">
        <f>+AVERAGE(G301,N301)</f>
        <v>-0.51553614300000006</v>
      </c>
      <c r="U301">
        <v>6.0121439999999996E-3</v>
      </c>
      <c r="V301" s="1">
        <v>1.14E-30</v>
      </c>
      <c r="W301">
        <v>0.99398785599999995</v>
      </c>
      <c r="X301" s="1">
        <v>1.4399999999999999E-19</v>
      </c>
    </row>
    <row r="302" spans="1:24" x14ac:dyDescent="0.25">
      <c r="A302" t="s">
        <v>396</v>
      </c>
      <c r="B302" t="s">
        <v>24</v>
      </c>
      <c r="C302" t="s">
        <v>342</v>
      </c>
      <c r="D302">
        <v>-0.57457681100000002</v>
      </c>
      <c r="E302">
        <v>-7.0605060999999997E-2</v>
      </c>
      <c r="F302">
        <v>-4.6370389673564522E-2</v>
      </c>
      <c r="G302">
        <v>-0.64518187199999999</v>
      </c>
      <c r="H302">
        <v>0.34407611100000002</v>
      </c>
      <c r="I302">
        <f t="shared" si="16"/>
        <v>-0.69155226167356454</v>
      </c>
      <c r="J302">
        <f t="shared" si="17"/>
        <v>0.33368785391597311</v>
      </c>
      <c r="K302">
        <v>-0.80976737799999998</v>
      </c>
      <c r="L302">
        <v>-9.4915534999999995E-2</v>
      </c>
      <c r="M302">
        <v>-0.13190576120816735</v>
      </c>
      <c r="N302">
        <v>-0.90468291300000003</v>
      </c>
      <c r="O302">
        <v>0.28808910900000001</v>
      </c>
      <c r="P302">
        <f t="shared" si="18"/>
        <v>-1.0365886742081674</v>
      </c>
      <c r="Q302">
        <f t="shared" si="19"/>
        <v>0.26180874763907191</v>
      </c>
      <c r="R302">
        <f>+AVERAGE(O302,H302)</f>
        <v>0.31608261000000004</v>
      </c>
      <c r="S302">
        <f>+AVERAGE(E302,L302)</f>
        <v>-8.2760297999999996E-2</v>
      </c>
      <c r="T302">
        <f>+AVERAGE(G302,N302)</f>
        <v>-0.77493239250000001</v>
      </c>
      <c r="U302">
        <v>0.99901149600000005</v>
      </c>
      <c r="V302" s="1">
        <v>1.8099999999999999E-25</v>
      </c>
      <c r="W302">
        <v>9.8850400000000008E-4</v>
      </c>
      <c r="X302" s="1">
        <v>2.08E-14</v>
      </c>
    </row>
    <row r="303" spans="1:24" x14ac:dyDescent="0.25">
      <c r="A303" t="s">
        <v>396</v>
      </c>
      <c r="B303" t="s">
        <v>25</v>
      </c>
      <c r="C303" t="s">
        <v>343</v>
      </c>
      <c r="D303">
        <v>-0.57457681100000002</v>
      </c>
      <c r="E303">
        <v>0.111240089</v>
      </c>
      <c r="F303">
        <v>-9.2997517450181935E-2</v>
      </c>
      <c r="G303">
        <v>-0.46333672199999998</v>
      </c>
      <c r="H303">
        <v>0.38619456000000002</v>
      </c>
      <c r="I303">
        <f t="shared" si="16"/>
        <v>-0.55633423945018201</v>
      </c>
      <c r="J303">
        <f t="shared" si="17"/>
        <v>0.36439606950237674</v>
      </c>
      <c r="K303">
        <v>-0.80976737799999998</v>
      </c>
      <c r="L303">
        <v>0.16618355300000001</v>
      </c>
      <c r="M303">
        <v>-0.11517847013335669</v>
      </c>
      <c r="N303">
        <v>-0.643583825</v>
      </c>
      <c r="O303">
        <v>0.34443686099999998</v>
      </c>
      <c r="P303">
        <f t="shared" si="18"/>
        <v>-0.75876229513335669</v>
      </c>
      <c r="Q303">
        <f t="shared" si="19"/>
        <v>0.31891504563006146</v>
      </c>
      <c r="R303">
        <f>+AVERAGE(O303,H303)</f>
        <v>0.3653157105</v>
      </c>
      <c r="S303">
        <f>+AVERAGE(E303,L303)</f>
        <v>0.13871182100000001</v>
      </c>
      <c r="T303">
        <f>+AVERAGE(G303,N303)</f>
        <v>-0.55346027350000004</v>
      </c>
      <c r="U303">
        <v>0.99998221099999995</v>
      </c>
      <c r="V303" s="1">
        <v>1.7399999999999998E-24</v>
      </c>
      <c r="W303" s="1">
        <v>1.7799999999999999E-5</v>
      </c>
      <c r="X303" s="1">
        <v>9.0199999999999998E-18</v>
      </c>
    </row>
    <row r="304" spans="1:24" x14ac:dyDescent="0.25">
      <c r="A304" t="s">
        <v>396</v>
      </c>
      <c r="B304" t="s">
        <v>25</v>
      </c>
      <c r="C304" t="s">
        <v>344</v>
      </c>
      <c r="D304">
        <v>-0.57457681100000002</v>
      </c>
      <c r="E304">
        <v>-0.128203447</v>
      </c>
      <c r="F304">
        <v>-9.2997517450181935E-2</v>
      </c>
      <c r="G304">
        <v>-0.70278025799999999</v>
      </c>
      <c r="H304">
        <v>0.33119609700000002</v>
      </c>
      <c r="I304">
        <f t="shared" si="16"/>
        <v>-0.79577777545018191</v>
      </c>
      <c r="J304">
        <f t="shared" si="17"/>
        <v>0.31092941733208895</v>
      </c>
      <c r="K304">
        <v>-0.80976737799999998</v>
      </c>
      <c r="L304">
        <v>-0.29724774300000001</v>
      </c>
      <c r="M304">
        <v>-0.11517847013335669</v>
      </c>
      <c r="N304">
        <v>-1.1070151210000001</v>
      </c>
      <c r="O304">
        <v>0.24842778099999999</v>
      </c>
      <c r="P304">
        <f t="shared" si="18"/>
        <v>-1.2221935911333566</v>
      </c>
      <c r="Q304">
        <f t="shared" si="19"/>
        <v>0.22755064967874489</v>
      </c>
      <c r="R304">
        <f>+AVERAGE(O304,H304)</f>
        <v>0.28981193900000002</v>
      </c>
      <c r="S304">
        <f>+AVERAGE(E304,L304)</f>
        <v>-0.21272559499999999</v>
      </c>
      <c r="T304">
        <f>+AVERAGE(G304,N304)</f>
        <v>-0.90489768950000005</v>
      </c>
      <c r="U304">
        <v>2.4652799999999998E-3</v>
      </c>
      <c r="V304" s="1">
        <v>1.11E-29</v>
      </c>
      <c r="W304">
        <v>0.99753471999999999</v>
      </c>
      <c r="X304" s="1">
        <v>2.25E-18</v>
      </c>
    </row>
    <row r="305" spans="1:24" x14ac:dyDescent="0.25">
      <c r="A305" t="s">
        <v>396</v>
      </c>
      <c r="B305" t="s">
        <v>26</v>
      </c>
      <c r="C305" t="s">
        <v>345</v>
      </c>
      <c r="D305">
        <v>-0.57457681100000002</v>
      </c>
      <c r="E305">
        <v>0.38132946699999998</v>
      </c>
      <c r="F305">
        <v>0</v>
      </c>
      <c r="G305">
        <v>-0.19324734399999999</v>
      </c>
      <c r="H305">
        <v>0.45183795300000001</v>
      </c>
      <c r="I305">
        <f t="shared" si="16"/>
        <v>-0.19324734400000004</v>
      </c>
      <c r="J305">
        <f t="shared" si="17"/>
        <v>0.45183795323532194</v>
      </c>
      <c r="K305">
        <v>-0.80976737799999998</v>
      </c>
      <c r="L305">
        <v>0.44104852100000003</v>
      </c>
      <c r="M305">
        <v>0</v>
      </c>
      <c r="N305">
        <v>-0.36871885700000001</v>
      </c>
      <c r="O305">
        <v>0.40885062700000002</v>
      </c>
      <c r="P305">
        <f t="shared" si="18"/>
        <v>-0.36871885699999996</v>
      </c>
      <c r="Q305">
        <f t="shared" si="19"/>
        <v>0.40885062711781855</v>
      </c>
      <c r="R305">
        <f>+AVERAGE(O305,H305)</f>
        <v>0.43034429000000002</v>
      </c>
      <c r="S305">
        <f>+AVERAGE(E305,L305)</f>
        <v>0.41118899399999997</v>
      </c>
      <c r="T305">
        <f>+AVERAGE(G305,N305)</f>
        <v>-0.28098310049999997</v>
      </c>
      <c r="U305">
        <v>0.99473128300000002</v>
      </c>
      <c r="V305" s="1">
        <v>2.8899999999999998E-31</v>
      </c>
      <c r="W305">
        <v>5.268717E-3</v>
      </c>
      <c r="X305" s="1">
        <v>2.61E-14</v>
      </c>
    </row>
    <row r="306" spans="1:24" x14ac:dyDescent="0.25">
      <c r="A306" t="s">
        <v>396</v>
      </c>
      <c r="B306" t="s">
        <v>23</v>
      </c>
      <c r="C306" t="s">
        <v>346</v>
      </c>
      <c r="D306">
        <v>-0.57457681100000002</v>
      </c>
      <c r="E306">
        <v>-0.12270587600000001</v>
      </c>
      <c r="F306">
        <v>-0.40867213275064479</v>
      </c>
      <c r="G306">
        <v>-0.69728268800000004</v>
      </c>
      <c r="H306">
        <v>0.33241496599999998</v>
      </c>
      <c r="I306">
        <f t="shared" si="16"/>
        <v>-1.1059548197506448</v>
      </c>
      <c r="J306">
        <f t="shared" si="17"/>
        <v>0.24862580411491042</v>
      </c>
      <c r="K306">
        <v>-0.80976737799999998</v>
      </c>
      <c r="L306">
        <v>-0.22075534899999999</v>
      </c>
      <c r="M306">
        <v>-0.70604191684048312</v>
      </c>
      <c r="N306">
        <v>-1.0305227269999999</v>
      </c>
      <c r="O306">
        <v>0.262982775</v>
      </c>
      <c r="P306">
        <f t="shared" si="18"/>
        <v>-1.7365646438404831</v>
      </c>
      <c r="Q306">
        <f t="shared" si="19"/>
        <v>0.14974981449418778</v>
      </c>
      <c r="R306">
        <f>+AVERAGE(O306,H306)</f>
        <v>0.29769887049999999</v>
      </c>
      <c r="S306">
        <f>+AVERAGE(E306,L306)</f>
        <v>-0.17173061249999999</v>
      </c>
      <c r="T306">
        <f>+AVERAGE(G306,N306)</f>
        <v>-0.86390270749999998</v>
      </c>
      <c r="U306">
        <v>0.98923110299999994</v>
      </c>
      <c r="V306" s="1">
        <v>1.79E-27</v>
      </c>
      <c r="W306">
        <v>1.0768896999999999E-2</v>
      </c>
      <c r="X306" s="1">
        <v>4.8500000000000003E-15</v>
      </c>
    </row>
    <row r="307" spans="1:24" x14ac:dyDescent="0.25">
      <c r="A307" t="s">
        <v>396</v>
      </c>
      <c r="B307" t="s">
        <v>18</v>
      </c>
      <c r="C307" t="s">
        <v>347</v>
      </c>
      <c r="D307">
        <v>-0.57457681100000002</v>
      </c>
      <c r="E307">
        <v>5.220064E-2</v>
      </c>
      <c r="F307">
        <v>-0.27945122320506655</v>
      </c>
      <c r="G307">
        <v>-0.522376171</v>
      </c>
      <c r="H307">
        <v>0.37229677300000003</v>
      </c>
      <c r="I307">
        <f t="shared" si="16"/>
        <v>-0.80182739420506655</v>
      </c>
      <c r="J307">
        <f t="shared" si="17"/>
        <v>0.30963475729741102</v>
      </c>
      <c r="K307">
        <v>-0.80976737799999998</v>
      </c>
      <c r="L307">
        <v>0.205204371</v>
      </c>
      <c r="M307">
        <v>-0.27877632987391054</v>
      </c>
      <c r="N307">
        <v>-0.60456300699999999</v>
      </c>
      <c r="O307">
        <v>0.35330044500000002</v>
      </c>
      <c r="P307">
        <f t="shared" si="18"/>
        <v>-0.88333933687391053</v>
      </c>
      <c r="Q307">
        <f t="shared" si="19"/>
        <v>0.29248626449883308</v>
      </c>
      <c r="R307">
        <f>+AVERAGE(O307,H307)</f>
        <v>0.36279860900000005</v>
      </c>
      <c r="S307">
        <f>+AVERAGE(E307,L307)</f>
        <v>0.12870250550000001</v>
      </c>
      <c r="T307">
        <f>+AVERAGE(G307,N307)</f>
        <v>-0.56346958899999999</v>
      </c>
      <c r="U307">
        <v>7.109476E-3</v>
      </c>
      <c r="V307" s="1">
        <v>2.83E-27</v>
      </c>
      <c r="W307">
        <v>0.992890524</v>
      </c>
      <c r="X307" s="1">
        <v>4.0899999999999998E-20</v>
      </c>
    </row>
    <row r="308" spans="1:24" x14ac:dyDescent="0.25">
      <c r="A308" t="s">
        <v>396</v>
      </c>
      <c r="B308" t="s">
        <v>25</v>
      </c>
      <c r="C308" t="s">
        <v>348</v>
      </c>
      <c r="D308">
        <v>-0.57457681100000002</v>
      </c>
      <c r="E308">
        <v>0.20313135700000001</v>
      </c>
      <c r="F308">
        <v>-9.2997517450181935E-2</v>
      </c>
      <c r="G308">
        <v>-0.37144545400000001</v>
      </c>
      <c r="H308">
        <v>0.40819179500000002</v>
      </c>
      <c r="I308">
        <f t="shared" si="16"/>
        <v>-0.46444297145018193</v>
      </c>
      <c r="J308">
        <f t="shared" si="17"/>
        <v>0.38593235823368671</v>
      </c>
      <c r="K308">
        <v>-0.80976737799999998</v>
      </c>
      <c r="L308">
        <v>9.9826714999999996E-2</v>
      </c>
      <c r="M308">
        <v>-0.11517847013335669</v>
      </c>
      <c r="N308">
        <v>-0.70994066300000003</v>
      </c>
      <c r="O308">
        <v>0.32961195199999999</v>
      </c>
      <c r="P308">
        <f t="shared" si="18"/>
        <v>-0.82511913313335672</v>
      </c>
      <c r="Q308">
        <f t="shared" si="19"/>
        <v>0.30467809178804955</v>
      </c>
      <c r="R308">
        <f>+AVERAGE(O308,H308)</f>
        <v>0.36890187350000003</v>
      </c>
      <c r="S308">
        <f>+AVERAGE(E308,L308)</f>
        <v>0.15147903600000001</v>
      </c>
      <c r="T308">
        <f>+AVERAGE(G308,N308)</f>
        <v>-0.54069305850000005</v>
      </c>
      <c r="U308">
        <v>0.99083675500000001</v>
      </c>
      <c r="V308" s="1">
        <v>3.26E-26</v>
      </c>
      <c r="W308">
        <v>9.1632450000000004E-3</v>
      </c>
      <c r="X308" s="1">
        <v>2.88E-16</v>
      </c>
    </row>
    <row r="309" spans="1:24" x14ac:dyDescent="0.25">
      <c r="A309" t="s">
        <v>396</v>
      </c>
      <c r="B309" t="s">
        <v>25</v>
      </c>
      <c r="C309" t="s">
        <v>349</v>
      </c>
      <c r="D309">
        <v>-0.57457681100000002</v>
      </c>
      <c r="E309">
        <v>-8.4411412000000005E-2</v>
      </c>
      <c r="F309">
        <v>-9.2997517450181935E-2</v>
      </c>
      <c r="G309">
        <v>-0.65898822400000001</v>
      </c>
      <c r="H309">
        <v>0.34096693</v>
      </c>
      <c r="I309">
        <f t="shared" si="16"/>
        <v>-0.75198574045018196</v>
      </c>
      <c r="J309">
        <f t="shared" si="17"/>
        <v>0.32038877195853438</v>
      </c>
      <c r="K309">
        <v>-0.80976737799999998</v>
      </c>
      <c r="L309">
        <v>-0.18249241399999999</v>
      </c>
      <c r="M309">
        <v>-0.11517847013335669</v>
      </c>
      <c r="N309">
        <v>-0.99225979200000003</v>
      </c>
      <c r="O309">
        <v>0.27046595800000001</v>
      </c>
      <c r="P309">
        <f t="shared" si="18"/>
        <v>-1.1074382621333567</v>
      </c>
      <c r="Q309">
        <f t="shared" si="19"/>
        <v>0.2483487840910433</v>
      </c>
      <c r="R309">
        <f>+AVERAGE(O309,H309)</f>
        <v>0.30571644399999998</v>
      </c>
      <c r="S309">
        <f>+AVERAGE(E309,L309)</f>
        <v>-0.13345191300000001</v>
      </c>
      <c r="T309">
        <f>+AVERAGE(G309,N309)</f>
        <v>-0.82562400800000002</v>
      </c>
      <c r="U309">
        <v>9.5862283000000006E-2</v>
      </c>
      <c r="V309" s="1">
        <v>5.2799999999999997E-25</v>
      </c>
      <c r="W309">
        <v>0.90413771700000001</v>
      </c>
      <c r="X309" s="1">
        <v>6.81E-17</v>
      </c>
    </row>
    <row r="310" spans="1:24" x14ac:dyDescent="0.25">
      <c r="A310" t="s">
        <v>396</v>
      </c>
      <c r="B310" t="s">
        <v>21</v>
      </c>
      <c r="C310" t="s">
        <v>350</v>
      </c>
      <c r="D310">
        <v>-0.57457681100000002</v>
      </c>
      <c r="E310">
        <v>-2.672304E-2</v>
      </c>
      <c r="F310">
        <v>9.5030818057487976E-3</v>
      </c>
      <c r="G310">
        <v>-0.60129985100000005</v>
      </c>
      <c r="H310">
        <v>0.35404636499999997</v>
      </c>
      <c r="I310">
        <f t="shared" si="16"/>
        <v>-0.59179676919425128</v>
      </c>
      <c r="J310">
        <f t="shared" si="17"/>
        <v>0.3562226982992886</v>
      </c>
      <c r="K310">
        <v>-0.80976737799999998</v>
      </c>
      <c r="L310">
        <v>-0.15589251000000001</v>
      </c>
      <c r="M310">
        <v>-1.6947105307120725E-2</v>
      </c>
      <c r="N310">
        <v>-0.96565988800000002</v>
      </c>
      <c r="O310">
        <v>0.27574642300000002</v>
      </c>
      <c r="P310">
        <f t="shared" si="18"/>
        <v>-0.98260699330712076</v>
      </c>
      <c r="Q310">
        <f t="shared" si="19"/>
        <v>0.27237480558269711</v>
      </c>
      <c r="R310">
        <f>+AVERAGE(O310,H310)</f>
        <v>0.31489639400000002</v>
      </c>
      <c r="S310">
        <f>+AVERAGE(E310,L310)</f>
        <v>-9.1307775000000008E-2</v>
      </c>
      <c r="T310">
        <f>+AVERAGE(G310,N310)</f>
        <v>-0.78347986950000004</v>
      </c>
      <c r="U310">
        <v>0.99987024700000005</v>
      </c>
      <c r="V310" s="1">
        <v>5.4900000000000001E-25</v>
      </c>
      <c r="W310">
        <v>1.29753E-4</v>
      </c>
      <c r="X310" s="1">
        <v>5.6900000000000002E-19</v>
      </c>
    </row>
    <row r="311" spans="1:24" x14ac:dyDescent="0.25">
      <c r="A311" t="s">
        <v>396</v>
      </c>
      <c r="B311" t="s">
        <v>26</v>
      </c>
      <c r="C311" t="s">
        <v>351</v>
      </c>
      <c r="D311">
        <v>-0.57457681100000002</v>
      </c>
      <c r="E311">
        <v>-5.7459815999999997E-2</v>
      </c>
      <c r="F311">
        <v>0</v>
      </c>
      <c r="G311">
        <v>-0.63203662699999996</v>
      </c>
      <c r="H311">
        <v>0.347048882</v>
      </c>
      <c r="I311">
        <f t="shared" si="16"/>
        <v>-0.63203662699999996</v>
      </c>
      <c r="J311">
        <f t="shared" si="17"/>
        <v>0.34704888235157771</v>
      </c>
      <c r="K311">
        <v>-0.80976737799999998</v>
      </c>
      <c r="L311">
        <v>-0.20589854099999999</v>
      </c>
      <c r="M311">
        <v>0</v>
      </c>
      <c r="N311">
        <v>-1.0156659189999999</v>
      </c>
      <c r="O311">
        <v>0.26587248600000002</v>
      </c>
      <c r="P311">
        <f t="shared" si="18"/>
        <v>-1.0156659189999999</v>
      </c>
      <c r="Q311">
        <f t="shared" si="19"/>
        <v>0.26587248627663107</v>
      </c>
      <c r="R311">
        <f>+AVERAGE(O311,H311)</f>
        <v>0.30646068400000004</v>
      </c>
      <c r="S311">
        <f>+AVERAGE(E311,L311)</f>
        <v>-0.13167917849999999</v>
      </c>
      <c r="T311">
        <f>+AVERAGE(G311,N311)</f>
        <v>-0.82385127299999994</v>
      </c>
      <c r="U311">
        <v>4.846815E-3</v>
      </c>
      <c r="V311" s="1">
        <v>4.8399999999999998E-29</v>
      </c>
      <c r="W311">
        <v>0.99515318500000005</v>
      </c>
      <c r="X311" s="1">
        <v>4.57E-20</v>
      </c>
    </row>
    <row r="312" spans="1:24" x14ac:dyDescent="0.25">
      <c r="A312" t="s">
        <v>396</v>
      </c>
      <c r="B312" t="s">
        <v>19</v>
      </c>
      <c r="C312" t="s">
        <v>352</v>
      </c>
      <c r="D312">
        <v>-0.57457681100000002</v>
      </c>
      <c r="E312">
        <v>-0.198509346</v>
      </c>
      <c r="F312">
        <v>-0.56248729144923193</v>
      </c>
      <c r="G312">
        <v>-0.77308615700000005</v>
      </c>
      <c r="H312">
        <v>0.31581188700000001</v>
      </c>
      <c r="I312">
        <f t="shared" si="16"/>
        <v>-1.3355734484492321</v>
      </c>
      <c r="J312">
        <f t="shared" si="17"/>
        <v>0.20823894585883901</v>
      </c>
      <c r="K312">
        <v>-0.80976737799999998</v>
      </c>
      <c r="L312">
        <v>-0.32680357700000001</v>
      </c>
      <c r="M312">
        <v>-0.70414875992547199</v>
      </c>
      <c r="N312">
        <v>-1.136570955</v>
      </c>
      <c r="O312">
        <v>0.24295049399999999</v>
      </c>
      <c r="P312">
        <f t="shared" si="18"/>
        <v>-1.8407197149254722</v>
      </c>
      <c r="Q312">
        <f t="shared" si="19"/>
        <v>0.1369661953936856</v>
      </c>
      <c r="R312">
        <f>+AVERAGE(O312,H312)</f>
        <v>0.27938119049999999</v>
      </c>
      <c r="S312">
        <f>+AVERAGE(E312,L312)</f>
        <v>-0.26265646149999999</v>
      </c>
      <c r="T312">
        <f>+AVERAGE(G312,N312)</f>
        <v>-0.95482855600000005</v>
      </c>
      <c r="U312">
        <v>0.98566368000000004</v>
      </c>
      <c r="V312" s="1">
        <v>1.62E-30</v>
      </c>
      <c r="W312">
        <v>1.433632E-2</v>
      </c>
      <c r="X312" s="1">
        <v>2.1899999999999999E-17</v>
      </c>
    </row>
    <row r="313" spans="1:24" x14ac:dyDescent="0.25">
      <c r="A313" t="s">
        <v>396</v>
      </c>
      <c r="B313" t="s">
        <v>25</v>
      </c>
      <c r="C313" t="s">
        <v>353</v>
      </c>
      <c r="D313">
        <v>-0.57457681100000002</v>
      </c>
      <c r="E313">
        <v>0.17497202000000001</v>
      </c>
      <c r="F313">
        <v>-9.2997517450181935E-2</v>
      </c>
      <c r="G313">
        <v>-0.39960479100000001</v>
      </c>
      <c r="H313">
        <v>0.401407297</v>
      </c>
      <c r="I313">
        <f t="shared" si="16"/>
        <v>-0.49260230845018194</v>
      </c>
      <c r="J313">
        <f t="shared" si="17"/>
        <v>0.37928072218141856</v>
      </c>
      <c r="K313">
        <v>-0.80976737799999998</v>
      </c>
      <c r="L313">
        <v>0.13318211999999999</v>
      </c>
      <c r="M313">
        <v>-0.11517847013335669</v>
      </c>
      <c r="N313">
        <v>-0.67658525800000002</v>
      </c>
      <c r="O313">
        <v>0.33702386299999998</v>
      </c>
      <c r="P313">
        <f t="shared" si="18"/>
        <v>-0.79176372813335671</v>
      </c>
      <c r="Q313">
        <f t="shared" si="19"/>
        <v>0.31179008830181082</v>
      </c>
      <c r="R313">
        <f>+AVERAGE(O313,H313)</f>
        <v>0.36921557999999999</v>
      </c>
      <c r="S313">
        <f>+AVERAGE(E313,L313)</f>
        <v>0.15407706999999998</v>
      </c>
      <c r="T313">
        <f>+AVERAGE(G313,N313)</f>
        <v>-0.53809502450000002</v>
      </c>
      <c r="U313">
        <v>0.99993551700000005</v>
      </c>
      <c r="V313" s="1">
        <v>1.6E-27</v>
      </c>
      <c r="W313" s="1">
        <v>6.4499999999999996E-5</v>
      </c>
      <c r="X313" s="1">
        <v>2.14E-16</v>
      </c>
    </row>
    <row r="314" spans="1:24" x14ac:dyDescent="0.25">
      <c r="A314" t="s">
        <v>396</v>
      </c>
      <c r="B314" t="s">
        <v>21</v>
      </c>
      <c r="C314" t="s">
        <v>354</v>
      </c>
      <c r="D314">
        <v>-0.57457681100000002</v>
      </c>
      <c r="E314">
        <v>0.12689952099999999</v>
      </c>
      <c r="F314">
        <v>9.5030818057487976E-3</v>
      </c>
      <c r="G314">
        <v>-0.44767729099999998</v>
      </c>
      <c r="H314">
        <v>0.38991315300000001</v>
      </c>
      <c r="I314">
        <f t="shared" si="16"/>
        <v>-0.43817420819425124</v>
      </c>
      <c r="J314">
        <f t="shared" si="17"/>
        <v>0.39217610477990983</v>
      </c>
      <c r="K314">
        <v>-0.80976737799999998</v>
      </c>
      <c r="L314">
        <v>-8.5843968000000007E-2</v>
      </c>
      <c r="M314">
        <v>-1.6947105307120725E-2</v>
      </c>
      <c r="N314">
        <v>-0.89561134600000003</v>
      </c>
      <c r="O314">
        <v>0.28995320099999999</v>
      </c>
      <c r="P314">
        <f t="shared" si="18"/>
        <v>-0.91255845130712077</v>
      </c>
      <c r="Q314">
        <f t="shared" si="19"/>
        <v>0.28647658440801493</v>
      </c>
      <c r="R314">
        <f>+AVERAGE(O314,H314)</f>
        <v>0.33993317700000003</v>
      </c>
      <c r="S314">
        <f>+AVERAGE(E314,L314)</f>
        <v>2.052777649999999E-2</v>
      </c>
      <c r="T314">
        <f>+AVERAGE(G314,N314)</f>
        <v>-0.67164431850000006</v>
      </c>
      <c r="U314">
        <v>0.99901647500000001</v>
      </c>
      <c r="V314" s="1">
        <v>2.2899999999999999E-32</v>
      </c>
      <c r="W314">
        <v>9.8352500000000007E-4</v>
      </c>
      <c r="X314" s="1">
        <v>5.95E-16</v>
      </c>
    </row>
    <row r="315" spans="1:24" x14ac:dyDescent="0.25">
      <c r="A315" t="s">
        <v>396</v>
      </c>
      <c r="B315" t="s">
        <v>24</v>
      </c>
      <c r="C315" t="s">
        <v>355</v>
      </c>
      <c r="D315">
        <v>-0.57457681100000002</v>
      </c>
      <c r="E315">
        <v>4.7888477999999998E-2</v>
      </c>
      <c r="F315">
        <v>-4.6370389673564522E-2</v>
      </c>
      <c r="G315">
        <v>-0.52668833299999995</v>
      </c>
      <c r="H315">
        <v>0.37128961199999999</v>
      </c>
      <c r="I315">
        <f t="shared" si="16"/>
        <v>-0.57305872267356461</v>
      </c>
      <c r="J315">
        <f t="shared" si="17"/>
        <v>0.36053134054145453</v>
      </c>
      <c r="K315">
        <v>-0.80976737799999998</v>
      </c>
      <c r="L315">
        <v>0.18049691400000001</v>
      </c>
      <c r="M315">
        <v>-0.13190576120816735</v>
      </c>
      <c r="N315">
        <v>-0.62927046399999997</v>
      </c>
      <c r="O315">
        <v>0.347675976</v>
      </c>
      <c r="P315">
        <f t="shared" si="18"/>
        <v>-0.7611762252081673</v>
      </c>
      <c r="Q315">
        <f t="shared" si="19"/>
        <v>0.31839094947948404</v>
      </c>
      <c r="R315">
        <f>+AVERAGE(O315,H315)</f>
        <v>0.35948279399999999</v>
      </c>
      <c r="S315">
        <f>+AVERAGE(E315,L315)</f>
        <v>0.11419269600000001</v>
      </c>
      <c r="T315">
        <f>+AVERAGE(G315,N315)</f>
        <v>-0.57797939849999991</v>
      </c>
      <c r="U315">
        <v>0.98095740799999998</v>
      </c>
      <c r="V315" s="1">
        <v>2.6699999999999999E-29</v>
      </c>
      <c r="W315">
        <v>1.9042592000000001E-2</v>
      </c>
      <c r="X315" s="1">
        <v>1.5399999999999999E-16</v>
      </c>
    </row>
    <row r="316" spans="1:24" x14ac:dyDescent="0.25">
      <c r="A316" t="s">
        <v>396</v>
      </c>
      <c r="B316" t="s">
        <v>20</v>
      </c>
      <c r="C316" t="s">
        <v>356</v>
      </c>
      <c r="D316">
        <v>-0.57457681100000002</v>
      </c>
      <c r="E316">
        <v>0.197000126</v>
      </c>
      <c r="F316">
        <v>-7.2208879421957153E-2</v>
      </c>
      <c r="G316">
        <v>-0.37757668599999999</v>
      </c>
      <c r="H316">
        <v>0.406711504</v>
      </c>
      <c r="I316">
        <f t="shared" si="16"/>
        <v>-0.44978556442195716</v>
      </c>
      <c r="J316">
        <f t="shared" si="17"/>
        <v>0.38941175124020905</v>
      </c>
      <c r="K316">
        <v>-0.80976737799999998</v>
      </c>
      <c r="L316">
        <v>0.29545417299999999</v>
      </c>
      <c r="M316">
        <v>-0.15262980225704867</v>
      </c>
      <c r="N316">
        <v>-0.514313205</v>
      </c>
      <c r="O316">
        <v>0.37418295499999998</v>
      </c>
      <c r="P316">
        <f t="shared" si="18"/>
        <v>-0.66694300725704869</v>
      </c>
      <c r="Q316">
        <f t="shared" si="19"/>
        <v>0.33918169020075128</v>
      </c>
      <c r="R316">
        <f>+AVERAGE(O316,H316)</f>
        <v>0.39044722949999999</v>
      </c>
      <c r="S316">
        <f>+AVERAGE(E316,L316)</f>
        <v>0.24622714949999999</v>
      </c>
      <c r="T316">
        <f>+AVERAGE(G316,N316)</f>
        <v>-0.44594494549999997</v>
      </c>
      <c r="U316">
        <v>1.8529012000000001E-2</v>
      </c>
      <c r="V316" s="1">
        <v>5.6699999999999996E-29</v>
      </c>
      <c r="W316">
        <v>0.98147098799999999</v>
      </c>
      <c r="X316" s="1">
        <v>6.8200000000000001E-19</v>
      </c>
    </row>
    <row r="317" spans="1:24" x14ac:dyDescent="0.25">
      <c r="A317" t="s">
        <v>396</v>
      </c>
      <c r="B317" t="s">
        <v>20</v>
      </c>
      <c r="C317" t="s">
        <v>357</v>
      </c>
      <c r="D317">
        <v>-0.57457681100000002</v>
      </c>
      <c r="E317">
        <v>-0.12935933099999999</v>
      </c>
      <c r="F317">
        <v>-7.2208879421957153E-2</v>
      </c>
      <c r="G317">
        <v>-0.70393614199999999</v>
      </c>
      <c r="H317">
        <v>0.33094011299999998</v>
      </c>
      <c r="I317">
        <f t="shared" si="16"/>
        <v>-0.77614502142195718</v>
      </c>
      <c r="J317">
        <f t="shared" si="17"/>
        <v>0.31515131630834703</v>
      </c>
      <c r="K317">
        <v>-0.80976737799999998</v>
      </c>
      <c r="L317">
        <v>-7.7494646E-2</v>
      </c>
      <c r="M317">
        <v>-0.15262980225704867</v>
      </c>
      <c r="N317">
        <v>-0.88726202300000001</v>
      </c>
      <c r="O317">
        <v>0.29167517300000001</v>
      </c>
      <c r="P317">
        <f t="shared" si="18"/>
        <v>-1.0398918262570487</v>
      </c>
      <c r="Q317">
        <f t="shared" si="19"/>
        <v>0.26117086665170153</v>
      </c>
      <c r="R317">
        <f>+AVERAGE(O317,H317)</f>
        <v>0.31130764300000002</v>
      </c>
      <c r="S317">
        <f>+AVERAGE(E317,L317)</f>
        <v>-0.1034269885</v>
      </c>
      <c r="T317">
        <f>+AVERAGE(G317,N317)</f>
        <v>-0.7955990825</v>
      </c>
      <c r="U317">
        <v>0.97062011599999998</v>
      </c>
      <c r="V317" s="1">
        <v>1.1800000000000001E-18</v>
      </c>
      <c r="W317">
        <v>2.9379883999999998E-2</v>
      </c>
      <c r="X317" s="1">
        <v>3.4700000000000002E-20</v>
      </c>
    </row>
    <row r="318" spans="1:24" x14ac:dyDescent="0.25">
      <c r="A318" t="s">
        <v>396</v>
      </c>
      <c r="B318" t="s">
        <v>24</v>
      </c>
      <c r="C318" t="s">
        <v>358</v>
      </c>
      <c r="D318">
        <v>-0.57457681100000002</v>
      </c>
      <c r="E318">
        <v>-5.2491680999999998E-2</v>
      </c>
      <c r="F318">
        <v>-4.6370389673564522E-2</v>
      </c>
      <c r="G318">
        <v>-0.627068493</v>
      </c>
      <c r="H318">
        <v>0.34817554499999998</v>
      </c>
      <c r="I318">
        <f t="shared" si="16"/>
        <v>-0.67343888167356458</v>
      </c>
      <c r="J318">
        <f t="shared" si="17"/>
        <v>0.33772724584330038</v>
      </c>
      <c r="K318">
        <v>-0.80976737799999998</v>
      </c>
      <c r="L318">
        <v>-0.16850973699999999</v>
      </c>
      <c r="M318">
        <v>-0.13190576120816735</v>
      </c>
      <c r="N318">
        <v>-0.97827711500000003</v>
      </c>
      <c r="O318">
        <v>0.27323377500000001</v>
      </c>
      <c r="P318">
        <f t="shared" si="18"/>
        <v>-1.1101828762081674</v>
      </c>
      <c r="Q318">
        <f t="shared" si="19"/>
        <v>0.24783679635434347</v>
      </c>
      <c r="R318">
        <f>+AVERAGE(O318,H318)</f>
        <v>0.31070465999999997</v>
      </c>
      <c r="S318">
        <f>+AVERAGE(E318,L318)</f>
        <v>-0.110500709</v>
      </c>
      <c r="T318">
        <f>+AVERAGE(G318,N318)</f>
        <v>-0.80267280399999996</v>
      </c>
      <c r="U318">
        <v>1.3890583999999999E-2</v>
      </c>
      <c r="V318" s="1">
        <v>2.3400000000000001E-31</v>
      </c>
      <c r="W318">
        <v>0.98610941600000002</v>
      </c>
      <c r="X318" s="1">
        <v>8.7900000000000005E-20</v>
      </c>
    </row>
    <row r="319" spans="1:24" x14ac:dyDescent="0.25">
      <c r="A319" t="s">
        <v>396</v>
      </c>
      <c r="B319" t="s">
        <v>19</v>
      </c>
      <c r="C319" t="s">
        <v>359</v>
      </c>
      <c r="D319">
        <v>-0.57457681100000002</v>
      </c>
      <c r="E319">
        <v>0.214739661</v>
      </c>
      <c r="F319">
        <v>-0.56248729144923193</v>
      </c>
      <c r="G319">
        <v>-0.35983714999999999</v>
      </c>
      <c r="H319">
        <v>0.41099898800000001</v>
      </c>
      <c r="I319">
        <f t="shared" si="16"/>
        <v>-0.92232444144923198</v>
      </c>
      <c r="J319">
        <f t="shared" si="17"/>
        <v>0.28448451016739407</v>
      </c>
      <c r="K319">
        <v>-0.80976737799999998</v>
      </c>
      <c r="L319">
        <v>0.60068346900000003</v>
      </c>
      <c r="M319">
        <v>-0.70414875992547199</v>
      </c>
      <c r="N319">
        <v>-0.20908390900000001</v>
      </c>
      <c r="O319">
        <v>0.44791861799999999</v>
      </c>
      <c r="P319">
        <f t="shared" si="18"/>
        <v>-0.91323266892547195</v>
      </c>
      <c r="Q319">
        <f t="shared" si="19"/>
        <v>0.28633878894339426</v>
      </c>
      <c r="R319">
        <f>+AVERAGE(O319,H319)</f>
        <v>0.429458803</v>
      </c>
      <c r="S319">
        <f>+AVERAGE(E319,L319)</f>
        <v>0.407711565</v>
      </c>
      <c r="T319">
        <f>+AVERAGE(G319,N319)</f>
        <v>-0.2844605295</v>
      </c>
      <c r="U319">
        <v>2.0176917999999999E-2</v>
      </c>
      <c r="V319" s="1">
        <v>4.62E-28</v>
      </c>
      <c r="W319">
        <v>0.97982308200000001</v>
      </c>
      <c r="X319" s="1">
        <v>2.19E-19</v>
      </c>
    </row>
    <row r="320" spans="1:24" x14ac:dyDescent="0.25">
      <c r="A320" t="s">
        <v>396</v>
      </c>
      <c r="B320" t="s">
        <v>17</v>
      </c>
      <c r="C320" t="s">
        <v>360</v>
      </c>
      <c r="D320">
        <v>-0.57457681100000002</v>
      </c>
      <c r="E320">
        <v>0.12802795</v>
      </c>
      <c r="F320">
        <v>6.8561155351637995E-2</v>
      </c>
      <c r="G320">
        <v>-0.44654886100000002</v>
      </c>
      <c r="H320">
        <v>0.39018161800000001</v>
      </c>
      <c r="I320">
        <f t="shared" si="16"/>
        <v>-0.37798770564836204</v>
      </c>
      <c r="J320">
        <f t="shared" si="17"/>
        <v>0.4066123295296098</v>
      </c>
      <c r="K320">
        <v>-0.80976737799999998</v>
      </c>
      <c r="L320">
        <v>0.63537248999999996</v>
      </c>
      <c r="M320">
        <v>-0.32903365650294131</v>
      </c>
      <c r="N320">
        <v>-0.174394888</v>
      </c>
      <c r="O320">
        <v>0.45651144300000002</v>
      </c>
      <c r="P320">
        <f t="shared" si="18"/>
        <v>-0.50342854450294139</v>
      </c>
      <c r="Q320">
        <f t="shared" si="19"/>
        <v>0.37673528704681958</v>
      </c>
      <c r="R320">
        <f>+AVERAGE(O320,H320)</f>
        <v>0.42334653050000004</v>
      </c>
      <c r="S320">
        <f>+AVERAGE(E320,L320)</f>
        <v>0.38170021999999998</v>
      </c>
      <c r="T320">
        <f>+AVERAGE(G320,N320)</f>
        <v>-0.31047187450000002</v>
      </c>
      <c r="U320">
        <v>0.99955296699999996</v>
      </c>
      <c r="V320" s="1">
        <v>1.5399999999999999E-26</v>
      </c>
      <c r="W320">
        <v>4.47033E-4</v>
      </c>
      <c r="X320" s="1">
        <v>6.54E-17</v>
      </c>
    </row>
    <row r="321" spans="1:24" x14ac:dyDescent="0.25">
      <c r="A321" t="s">
        <v>396</v>
      </c>
      <c r="B321" t="s">
        <v>17</v>
      </c>
      <c r="C321" t="s">
        <v>361</v>
      </c>
      <c r="D321">
        <v>-0.57457681100000002</v>
      </c>
      <c r="E321">
        <v>0.28399458500000002</v>
      </c>
      <c r="F321">
        <v>6.8561155351637995E-2</v>
      </c>
      <c r="G321">
        <v>-0.29058222700000003</v>
      </c>
      <c r="H321">
        <v>0.42786133399999998</v>
      </c>
      <c r="I321">
        <f t="shared" si="16"/>
        <v>-0.22202107064836202</v>
      </c>
      <c r="J321">
        <f t="shared" si="17"/>
        <v>0.44472161741982158</v>
      </c>
      <c r="K321">
        <v>-0.80976737799999998</v>
      </c>
      <c r="L321">
        <v>7.0612800000000003E-2</v>
      </c>
      <c r="M321">
        <v>-0.32903365650294131</v>
      </c>
      <c r="N321">
        <v>-0.73915457799999995</v>
      </c>
      <c r="O321">
        <v>0.32318904199999998</v>
      </c>
      <c r="P321">
        <f t="shared" si="18"/>
        <v>-1.0681882345029412</v>
      </c>
      <c r="Q321">
        <f t="shared" si="19"/>
        <v>0.25574778453296748</v>
      </c>
      <c r="R321">
        <f>+AVERAGE(O321,H321)</f>
        <v>0.37552518800000001</v>
      </c>
      <c r="S321">
        <f>+AVERAGE(E321,L321)</f>
        <v>0.1773036925</v>
      </c>
      <c r="T321">
        <f>+AVERAGE(G321,N321)</f>
        <v>-0.51486840249999999</v>
      </c>
      <c r="U321">
        <v>0.99980843100000005</v>
      </c>
      <c r="V321" s="1">
        <v>2.14E-26</v>
      </c>
      <c r="W321">
        <v>1.9156899999999999E-4</v>
      </c>
      <c r="X321" s="1">
        <v>9.5699999999999995E-17</v>
      </c>
    </row>
    <row r="322" spans="1:24" x14ac:dyDescent="0.25">
      <c r="A322" t="s">
        <v>396</v>
      </c>
      <c r="B322" t="s">
        <v>16</v>
      </c>
      <c r="C322" t="s">
        <v>362</v>
      </c>
      <c r="D322">
        <v>-0.57457681100000002</v>
      </c>
      <c r="E322">
        <v>-0.14860484900000001</v>
      </c>
      <c r="F322">
        <v>-0.79503465290812969</v>
      </c>
      <c r="G322">
        <v>-0.72318165999999995</v>
      </c>
      <c r="H322">
        <v>0.32669274500000001</v>
      </c>
      <c r="I322">
        <f t="shared" si="16"/>
        <v>-1.5182163129081299</v>
      </c>
      <c r="J322">
        <f t="shared" si="17"/>
        <v>0.17972432658491197</v>
      </c>
      <c r="K322">
        <v>-0.80976737799999998</v>
      </c>
      <c r="L322">
        <v>-0.33252870899999998</v>
      </c>
      <c r="M322">
        <v>-0.92641011837371778</v>
      </c>
      <c r="N322">
        <v>-1.1422960870000001</v>
      </c>
      <c r="O322">
        <v>0.24189904600000001</v>
      </c>
      <c r="P322">
        <f t="shared" si="18"/>
        <v>-2.0687062053737177</v>
      </c>
      <c r="Q322">
        <f t="shared" si="19"/>
        <v>0.112175826042993</v>
      </c>
      <c r="R322">
        <f>+AVERAGE(O322,H322)</f>
        <v>0.28429589550000001</v>
      </c>
      <c r="S322">
        <f>+AVERAGE(E322,L322)</f>
        <v>-0.24056677900000001</v>
      </c>
      <c r="T322">
        <f>+AVERAGE(G322,N322)</f>
        <v>-0.93273887349999995</v>
      </c>
      <c r="U322">
        <v>0.99557966200000003</v>
      </c>
      <c r="V322" s="1">
        <v>5.6999999999999998E-30</v>
      </c>
      <c r="W322">
        <v>4.4203380000000002E-3</v>
      </c>
      <c r="X322" s="1">
        <v>2.2200000000000002E-15</v>
      </c>
    </row>
    <row r="323" spans="1:24" x14ac:dyDescent="0.25">
      <c r="A323" t="s">
        <v>396</v>
      </c>
      <c r="B323" t="s">
        <v>20</v>
      </c>
      <c r="C323" t="s">
        <v>363</v>
      </c>
      <c r="D323">
        <v>-0.57457681100000002</v>
      </c>
      <c r="E323">
        <v>5.5590999999999995E-4</v>
      </c>
      <c r="F323">
        <v>-7.2208879421957153E-2</v>
      </c>
      <c r="G323">
        <v>-0.57402090100000003</v>
      </c>
      <c r="H323">
        <v>0.36030954199999998</v>
      </c>
      <c r="I323">
        <f t="shared" ref="I323:I351" si="20">+D323+E323+F323</f>
        <v>-0.64622978042195722</v>
      </c>
      <c r="J323">
        <f t="shared" ref="J323:J351" si="21">1/(1+EXP(-I323))</f>
        <v>0.34383964992098165</v>
      </c>
      <c r="K323">
        <v>-0.80976737799999998</v>
      </c>
      <c r="L323">
        <v>0.13175382399999999</v>
      </c>
      <c r="M323">
        <v>-0.15262980225704867</v>
      </c>
      <c r="N323">
        <v>-0.67801355299999999</v>
      </c>
      <c r="O323">
        <v>0.336704801</v>
      </c>
      <c r="P323">
        <f t="shared" ref="P323:P351" si="22">+K323+L323+M323</f>
        <v>-0.83064335625704866</v>
      </c>
      <c r="Q323">
        <f t="shared" ref="Q323:Q351" si="23">1/(1+EXP(-P323))</f>
        <v>0.30350905306589249</v>
      </c>
      <c r="R323">
        <f>+AVERAGE(O323,H323)</f>
        <v>0.34850717149999999</v>
      </c>
      <c r="S323">
        <f>+AVERAGE(E323,L323)</f>
        <v>6.6154866999999992E-2</v>
      </c>
      <c r="T323">
        <f>+AVERAGE(G323,N323)</f>
        <v>-0.62601722699999995</v>
      </c>
      <c r="U323">
        <v>1.4231597E-2</v>
      </c>
      <c r="V323" s="1">
        <v>5.23E-28</v>
      </c>
      <c r="W323">
        <v>0.98576840300000002</v>
      </c>
      <c r="X323" s="1">
        <v>5.3899999999999998E-19</v>
      </c>
    </row>
    <row r="324" spans="1:24" x14ac:dyDescent="0.25">
      <c r="A324" t="s">
        <v>396</v>
      </c>
      <c r="B324" t="s">
        <v>17</v>
      </c>
      <c r="C324" t="s">
        <v>364</v>
      </c>
      <c r="D324">
        <v>-0.57457681100000002</v>
      </c>
      <c r="E324">
        <v>0.221057643</v>
      </c>
      <c r="F324">
        <v>6.8561155351637995E-2</v>
      </c>
      <c r="G324">
        <v>-0.35351916799999999</v>
      </c>
      <c r="H324">
        <v>0.41252929300000002</v>
      </c>
      <c r="I324">
        <f t="shared" si="20"/>
        <v>-0.28495801264836207</v>
      </c>
      <c r="J324">
        <f t="shared" si="21"/>
        <v>0.42923867467524968</v>
      </c>
      <c r="K324">
        <v>-0.80976737799999998</v>
      </c>
      <c r="L324">
        <v>0.14298348799999999</v>
      </c>
      <c r="M324">
        <v>-0.32903365650294131</v>
      </c>
      <c r="N324">
        <v>-0.66678388899999996</v>
      </c>
      <c r="O324">
        <v>0.339217355</v>
      </c>
      <c r="P324">
        <f t="shared" si="22"/>
        <v>-0.9958175465029413</v>
      </c>
      <c r="Q324">
        <f t="shared" si="23"/>
        <v>0.26976453588894406</v>
      </c>
      <c r="R324">
        <f>+AVERAGE(O324,H324)</f>
        <v>0.37587332400000001</v>
      </c>
      <c r="S324">
        <f>+AVERAGE(E324,L324)</f>
        <v>0.18202056550000001</v>
      </c>
      <c r="T324">
        <f>+AVERAGE(G324,N324)</f>
        <v>-0.51015152850000001</v>
      </c>
      <c r="U324" s="1">
        <v>1.68E-6</v>
      </c>
      <c r="V324" s="1">
        <v>6.9300000000000005E-33</v>
      </c>
      <c r="W324">
        <v>0.99999832300000002</v>
      </c>
      <c r="X324" s="1">
        <v>9.2199999999999996E-24</v>
      </c>
    </row>
    <row r="325" spans="1:24" x14ac:dyDescent="0.25">
      <c r="A325" t="s">
        <v>396</v>
      </c>
      <c r="B325" t="s">
        <v>18</v>
      </c>
      <c r="C325" t="s">
        <v>365</v>
      </c>
      <c r="D325">
        <v>-0.57457681100000002</v>
      </c>
      <c r="E325">
        <v>0.28113949799999999</v>
      </c>
      <c r="F325">
        <v>-0.27945122320506655</v>
      </c>
      <c r="G325">
        <v>-0.29343731299999998</v>
      </c>
      <c r="H325">
        <v>0.42716256499999999</v>
      </c>
      <c r="I325">
        <f t="shared" si="20"/>
        <v>-0.57288853620506663</v>
      </c>
      <c r="J325">
        <f t="shared" si="21"/>
        <v>0.36057057770652662</v>
      </c>
      <c r="K325">
        <v>-0.80976737799999998</v>
      </c>
      <c r="L325">
        <v>0.77276389300000004</v>
      </c>
      <c r="M325">
        <v>-0.27877632987391054</v>
      </c>
      <c r="N325">
        <v>-3.7003485000000003E-2</v>
      </c>
      <c r="O325">
        <v>0.49075018399999998</v>
      </c>
      <c r="P325">
        <f t="shared" si="22"/>
        <v>-0.31577981487391049</v>
      </c>
      <c r="Q325">
        <f t="shared" si="23"/>
        <v>0.42170458219458923</v>
      </c>
      <c r="R325">
        <f>+AVERAGE(O325,H325)</f>
        <v>0.45895637449999999</v>
      </c>
      <c r="S325">
        <f>+AVERAGE(E325,L325)</f>
        <v>0.52695169549999998</v>
      </c>
      <c r="T325">
        <f>+AVERAGE(G325,N325)</f>
        <v>-0.16522039899999999</v>
      </c>
      <c r="U325" s="1">
        <v>1.2500000000000001E-5</v>
      </c>
      <c r="V325" s="1">
        <v>8.0399999999999995E-29</v>
      </c>
      <c r="W325">
        <v>0.99998747499999996</v>
      </c>
      <c r="X325" s="1">
        <v>4.66E-24</v>
      </c>
    </row>
    <row r="326" spans="1:24" x14ac:dyDescent="0.25">
      <c r="A326" t="s">
        <v>396</v>
      </c>
      <c r="B326" t="s">
        <v>18</v>
      </c>
      <c r="C326" t="s">
        <v>366</v>
      </c>
      <c r="D326">
        <v>-0.57457681100000002</v>
      </c>
      <c r="E326">
        <v>-0.193809068</v>
      </c>
      <c r="F326">
        <v>-0.27945122320506655</v>
      </c>
      <c r="G326">
        <v>-0.76838587899999999</v>
      </c>
      <c r="H326">
        <v>0.31682837600000002</v>
      </c>
      <c r="I326">
        <f t="shared" si="20"/>
        <v>-1.0478371022050665</v>
      </c>
      <c r="J326">
        <f t="shared" si="21"/>
        <v>0.25964065280715892</v>
      </c>
      <c r="K326">
        <v>-0.80976737799999998</v>
      </c>
      <c r="L326">
        <v>-0.70599425599999999</v>
      </c>
      <c r="M326">
        <v>-0.27877632987391054</v>
      </c>
      <c r="N326">
        <v>-1.515761634</v>
      </c>
      <c r="O326">
        <v>0.18008648799999999</v>
      </c>
      <c r="P326">
        <f t="shared" si="22"/>
        <v>-1.7945379638739105</v>
      </c>
      <c r="Q326">
        <f t="shared" si="23"/>
        <v>0.14251725651746577</v>
      </c>
      <c r="R326">
        <f>+AVERAGE(O326,H326)</f>
        <v>0.24845743200000001</v>
      </c>
      <c r="S326">
        <f>+AVERAGE(E326,L326)</f>
        <v>-0.44990166199999998</v>
      </c>
      <c r="T326">
        <f>+AVERAGE(G326,N326)</f>
        <v>-1.1420737564999999</v>
      </c>
      <c r="U326">
        <v>0.999892381</v>
      </c>
      <c r="V326" s="1">
        <v>2.0100000000000001E-30</v>
      </c>
      <c r="W326">
        <v>1.07619E-4</v>
      </c>
      <c r="X326" s="1">
        <v>8.0000000000000006E-15</v>
      </c>
    </row>
    <row r="327" spans="1:24" x14ac:dyDescent="0.25">
      <c r="A327" t="s">
        <v>396</v>
      </c>
      <c r="B327" t="s">
        <v>21</v>
      </c>
      <c r="C327" t="s">
        <v>367</v>
      </c>
      <c r="D327">
        <v>-0.57457681100000002</v>
      </c>
      <c r="E327">
        <v>-2.7655332000000001E-2</v>
      </c>
      <c r="F327">
        <v>9.5030818057487976E-3</v>
      </c>
      <c r="G327">
        <v>-0.60223214400000002</v>
      </c>
      <c r="H327">
        <v>0.353833181</v>
      </c>
      <c r="I327">
        <f t="shared" si="20"/>
        <v>-0.59272906119425128</v>
      </c>
      <c r="J327">
        <f t="shared" si="21"/>
        <v>0.35600892622793356</v>
      </c>
      <c r="K327">
        <v>-0.80976737799999998</v>
      </c>
      <c r="L327">
        <v>8.2091875999999994E-2</v>
      </c>
      <c r="M327">
        <v>-1.6947105307120725E-2</v>
      </c>
      <c r="N327">
        <v>-0.72767550199999997</v>
      </c>
      <c r="O327">
        <v>0.32570503000000001</v>
      </c>
      <c r="P327">
        <f t="shared" si="22"/>
        <v>-0.74462260730712071</v>
      </c>
      <c r="Q327">
        <f t="shared" si="23"/>
        <v>0.32199413498810758</v>
      </c>
      <c r="R327">
        <f>+AVERAGE(O327,H327)</f>
        <v>0.3397691055</v>
      </c>
      <c r="S327">
        <f>+AVERAGE(E327,L327)</f>
        <v>2.7218271999999995E-2</v>
      </c>
      <c r="T327">
        <f>+AVERAGE(G327,N327)</f>
        <v>-0.66495382300000005</v>
      </c>
      <c r="U327">
        <v>0.96695437100000003</v>
      </c>
      <c r="V327" s="1">
        <v>3.2199999999999999E-31</v>
      </c>
      <c r="W327">
        <v>3.3045629E-2</v>
      </c>
      <c r="X327" s="1">
        <v>5.6600000000000003E-16</v>
      </c>
    </row>
    <row r="328" spans="1:24" x14ac:dyDescent="0.25">
      <c r="A328" t="s">
        <v>396</v>
      </c>
      <c r="B328" t="s">
        <v>20</v>
      </c>
      <c r="C328" t="s">
        <v>368</v>
      </c>
      <c r="D328">
        <v>-0.57457681100000002</v>
      </c>
      <c r="E328">
        <v>-5.4773516000000001E-2</v>
      </c>
      <c r="F328">
        <v>-7.2208879421957153E-2</v>
      </c>
      <c r="G328">
        <v>-0.62935032700000004</v>
      </c>
      <c r="H328">
        <v>0.34765786399999998</v>
      </c>
      <c r="I328">
        <f t="shared" si="20"/>
        <v>-0.70155920642195724</v>
      </c>
      <c r="J328">
        <f t="shared" si="21"/>
        <v>0.33146662239736274</v>
      </c>
      <c r="K328">
        <v>-0.80976737799999998</v>
      </c>
      <c r="L328">
        <v>-0.151190508</v>
      </c>
      <c r="M328">
        <v>-0.15262980225704867</v>
      </c>
      <c r="N328">
        <v>-0.96095788599999998</v>
      </c>
      <c r="O328">
        <v>0.276686451</v>
      </c>
      <c r="P328">
        <f t="shared" si="22"/>
        <v>-1.1135876882570486</v>
      </c>
      <c r="Q328">
        <f t="shared" si="23"/>
        <v>0.24720263775985626</v>
      </c>
      <c r="R328">
        <f>+AVERAGE(O328,H328)</f>
        <v>0.31217215749999999</v>
      </c>
      <c r="S328">
        <f>+AVERAGE(E328,L328)</f>
        <v>-0.102982012</v>
      </c>
      <c r="T328">
        <f>+AVERAGE(G328,N328)</f>
        <v>-0.79515410650000007</v>
      </c>
      <c r="U328">
        <v>0.99996157299999999</v>
      </c>
      <c r="V328" s="1">
        <v>3.8100000000000003E-27</v>
      </c>
      <c r="W328" s="1">
        <v>3.8399999999999998E-5</v>
      </c>
      <c r="X328" s="1">
        <v>2.41E-17</v>
      </c>
    </row>
    <row r="329" spans="1:24" x14ac:dyDescent="0.25">
      <c r="A329" t="s">
        <v>396</v>
      </c>
      <c r="B329" t="s">
        <v>18</v>
      </c>
      <c r="C329" t="s">
        <v>369</v>
      </c>
      <c r="D329">
        <v>-0.57457681100000002</v>
      </c>
      <c r="E329">
        <v>-0.28434318400000003</v>
      </c>
      <c r="F329">
        <v>-0.27945122320506655</v>
      </c>
      <c r="G329">
        <v>-0.85891999500000005</v>
      </c>
      <c r="H329">
        <v>0.29756503899999998</v>
      </c>
      <c r="I329">
        <f t="shared" si="20"/>
        <v>-1.1383712182050667</v>
      </c>
      <c r="J329">
        <f t="shared" si="21"/>
        <v>0.24261953279174719</v>
      </c>
      <c r="K329">
        <v>-0.80976737799999998</v>
      </c>
      <c r="L329">
        <v>-0.460662815</v>
      </c>
      <c r="M329">
        <v>-0.27877632987391054</v>
      </c>
      <c r="N329">
        <v>-1.2704301929999999</v>
      </c>
      <c r="O329">
        <v>0.219183619</v>
      </c>
      <c r="P329">
        <f t="shared" si="22"/>
        <v>-1.5492065228739105</v>
      </c>
      <c r="Q329">
        <f t="shared" si="23"/>
        <v>0.17520090045941614</v>
      </c>
      <c r="R329">
        <f>+AVERAGE(O329,H329)</f>
        <v>0.25837432900000001</v>
      </c>
      <c r="S329">
        <f>+AVERAGE(E329,L329)</f>
        <v>-0.37250299949999999</v>
      </c>
      <c r="T329">
        <f>+AVERAGE(G329,N329)</f>
        <v>-1.064675094</v>
      </c>
      <c r="U329">
        <v>0.233797122</v>
      </c>
      <c r="V329" s="1">
        <v>1.5699999999999999E-26</v>
      </c>
      <c r="W329">
        <v>0.76620287799999998</v>
      </c>
      <c r="X329" s="1">
        <v>6.0199999999999997E-17</v>
      </c>
    </row>
    <row r="330" spans="1:24" x14ac:dyDescent="0.25">
      <c r="A330" t="s">
        <v>396</v>
      </c>
      <c r="B330" t="s">
        <v>18</v>
      </c>
      <c r="C330" t="s">
        <v>370</v>
      </c>
      <c r="D330">
        <v>-0.57457681100000002</v>
      </c>
      <c r="E330">
        <v>0.168227553</v>
      </c>
      <c r="F330">
        <v>-0.27945122320506655</v>
      </c>
      <c r="G330">
        <v>-0.40634925799999999</v>
      </c>
      <c r="H330">
        <v>0.39978782299999999</v>
      </c>
      <c r="I330">
        <f t="shared" si="20"/>
        <v>-0.68580048120506654</v>
      </c>
      <c r="J330">
        <f t="shared" si="21"/>
        <v>0.33496792731627623</v>
      </c>
      <c r="K330">
        <v>-0.80976737799999998</v>
      </c>
      <c r="L330">
        <v>0.37157610400000002</v>
      </c>
      <c r="M330">
        <v>-0.27877632987391054</v>
      </c>
      <c r="N330">
        <v>-0.43819127400000002</v>
      </c>
      <c r="O330">
        <v>0.39217203699999997</v>
      </c>
      <c r="P330">
        <f t="shared" si="22"/>
        <v>-0.71696760387391056</v>
      </c>
      <c r="Q330">
        <f t="shared" si="23"/>
        <v>0.32806108641503706</v>
      </c>
      <c r="R330">
        <f>+AVERAGE(O330,H330)</f>
        <v>0.39597992999999998</v>
      </c>
      <c r="S330">
        <f>+AVERAGE(E330,L330)</f>
        <v>0.2699018285</v>
      </c>
      <c r="T330">
        <f>+AVERAGE(G330,N330)</f>
        <v>-0.42227026600000001</v>
      </c>
      <c r="U330" s="1">
        <v>6.0300000000000002E-5</v>
      </c>
      <c r="V330" s="1">
        <v>3.2699999999999999E-27</v>
      </c>
      <c r="W330">
        <v>0.99993972900000005</v>
      </c>
      <c r="X330" s="1">
        <v>1.2900000000000001E-22</v>
      </c>
    </row>
    <row r="331" spans="1:24" x14ac:dyDescent="0.25">
      <c r="A331" t="s">
        <v>396</v>
      </c>
      <c r="B331" t="s">
        <v>19</v>
      </c>
      <c r="C331" t="s">
        <v>371</v>
      </c>
      <c r="D331">
        <v>-0.57457681100000002</v>
      </c>
      <c r="E331">
        <v>0.27690489499999998</v>
      </c>
      <c r="F331">
        <v>-0.56248729144923193</v>
      </c>
      <c r="G331">
        <v>-0.29767191599999998</v>
      </c>
      <c r="H331">
        <v>0.426126701</v>
      </c>
      <c r="I331">
        <f t="shared" si="20"/>
        <v>-0.86015920744923191</v>
      </c>
      <c r="J331">
        <f t="shared" si="21"/>
        <v>0.29730608372963807</v>
      </c>
      <c r="K331">
        <v>-0.80976737799999998</v>
      </c>
      <c r="L331">
        <v>0.22851738799999999</v>
      </c>
      <c r="M331">
        <v>-0.70414875992547199</v>
      </c>
      <c r="N331">
        <v>-0.58124998999999999</v>
      </c>
      <c r="O331">
        <v>0.35864502199999998</v>
      </c>
      <c r="P331">
        <f t="shared" si="22"/>
        <v>-1.285398749925472</v>
      </c>
      <c r="Q331">
        <f t="shared" si="23"/>
        <v>0.21663263833086829</v>
      </c>
      <c r="R331">
        <f>+AVERAGE(O331,H331)</f>
        <v>0.39238586149999999</v>
      </c>
      <c r="S331">
        <f>+AVERAGE(E331,L331)</f>
        <v>0.25271114149999996</v>
      </c>
      <c r="T331">
        <f>+AVERAGE(G331,N331)</f>
        <v>-0.43946095299999999</v>
      </c>
      <c r="U331">
        <v>0.99889347399999995</v>
      </c>
      <c r="V331" s="1">
        <v>9.2100000000000003E-26</v>
      </c>
      <c r="W331">
        <v>1.106526E-3</v>
      </c>
      <c r="X331" s="1">
        <v>2.2199999999999999E-17</v>
      </c>
    </row>
    <row r="332" spans="1:24" x14ac:dyDescent="0.25">
      <c r="A332" t="s">
        <v>396</v>
      </c>
      <c r="B332" t="s">
        <v>19</v>
      </c>
      <c r="C332" t="s">
        <v>372</v>
      </c>
      <c r="D332">
        <v>-0.57457681100000002</v>
      </c>
      <c r="E332">
        <v>-0.29912265399999999</v>
      </c>
      <c r="F332">
        <v>-0.56248729144923193</v>
      </c>
      <c r="G332">
        <v>-0.87369946499999995</v>
      </c>
      <c r="H332">
        <v>0.294485104</v>
      </c>
      <c r="I332">
        <f t="shared" si="20"/>
        <v>-1.4361867564492319</v>
      </c>
      <c r="J332">
        <f t="shared" si="21"/>
        <v>0.19213654582494666</v>
      </c>
      <c r="K332">
        <v>-0.80976737799999998</v>
      </c>
      <c r="L332">
        <v>-0.55622258599999996</v>
      </c>
      <c r="M332">
        <v>-0.70414875992547199</v>
      </c>
      <c r="N332">
        <v>-1.3659899639999999</v>
      </c>
      <c r="O332">
        <v>0.20326850099999999</v>
      </c>
      <c r="P332">
        <f t="shared" si="22"/>
        <v>-2.070138723925472</v>
      </c>
      <c r="Q332">
        <f t="shared" si="23"/>
        <v>0.11203323730965843</v>
      </c>
      <c r="R332">
        <f>+AVERAGE(O332,H332)</f>
        <v>0.24887680249999999</v>
      </c>
      <c r="S332">
        <f>+AVERAGE(E332,L332)</f>
        <v>-0.42767261999999995</v>
      </c>
      <c r="T332">
        <f>+AVERAGE(G332,N332)</f>
        <v>-1.1198447144999999</v>
      </c>
      <c r="U332">
        <v>0.99998083000000004</v>
      </c>
      <c r="V332" s="1">
        <v>1.7299999999999999E-29</v>
      </c>
      <c r="W332" s="1">
        <v>1.9199999999999999E-5</v>
      </c>
      <c r="X332" s="1">
        <v>1.02E-17</v>
      </c>
    </row>
    <row r="333" spans="1:24" x14ac:dyDescent="0.25">
      <c r="A333" t="s">
        <v>396</v>
      </c>
      <c r="B333" t="s">
        <v>16</v>
      </c>
      <c r="C333" t="s">
        <v>373</v>
      </c>
      <c r="D333">
        <v>-0.57457681100000002</v>
      </c>
      <c r="E333">
        <v>1.993501E-3</v>
      </c>
      <c r="F333">
        <v>-0.79503465290812969</v>
      </c>
      <c r="G333">
        <v>-0.57258331100000004</v>
      </c>
      <c r="H333">
        <v>0.36064095299999999</v>
      </c>
      <c r="I333">
        <f t="shared" si="20"/>
        <v>-1.3676179629081298</v>
      </c>
      <c r="J333">
        <f t="shared" si="21"/>
        <v>0.20300497298952588</v>
      </c>
      <c r="K333">
        <v>-0.80976737799999998</v>
      </c>
      <c r="L333">
        <v>5.1325219999999998E-2</v>
      </c>
      <c r="M333">
        <v>-0.92641011837371778</v>
      </c>
      <c r="N333">
        <v>-0.75844215800000003</v>
      </c>
      <c r="O333">
        <v>0.31898458600000001</v>
      </c>
      <c r="P333">
        <f t="shared" si="22"/>
        <v>-1.6848522763737179</v>
      </c>
      <c r="Q333">
        <f t="shared" si="23"/>
        <v>0.15645401606682174</v>
      </c>
      <c r="R333">
        <f>+AVERAGE(O333,H333)</f>
        <v>0.3398127695</v>
      </c>
      <c r="S333">
        <f>+AVERAGE(E333,L333)</f>
        <v>2.66593605E-2</v>
      </c>
      <c r="T333">
        <f>+AVERAGE(G333,N333)</f>
        <v>-0.66551273450000004</v>
      </c>
      <c r="U333">
        <v>0.99937750999999997</v>
      </c>
      <c r="V333" s="1">
        <v>1.83E-27</v>
      </c>
      <c r="W333">
        <v>6.2248999999999996E-4</v>
      </c>
      <c r="X333" s="1">
        <v>5.1100000000000001E-17</v>
      </c>
    </row>
    <row r="334" spans="1:24" x14ac:dyDescent="0.25">
      <c r="A334" t="s">
        <v>396</v>
      </c>
      <c r="B334" t="s">
        <v>21</v>
      </c>
      <c r="C334" t="s">
        <v>374</v>
      </c>
      <c r="D334">
        <v>-0.57457681100000002</v>
      </c>
      <c r="E334">
        <v>9.2475130000000006E-3</v>
      </c>
      <c r="F334">
        <v>9.5030818057487976E-3</v>
      </c>
      <c r="G334">
        <v>-0.56532929799999998</v>
      </c>
      <c r="H334">
        <v>0.36231526200000003</v>
      </c>
      <c r="I334">
        <f t="shared" si="20"/>
        <v>-0.55582621619425121</v>
      </c>
      <c r="J334">
        <f t="shared" si="21"/>
        <v>0.36451374167222761</v>
      </c>
      <c r="K334">
        <v>-0.80976737799999998</v>
      </c>
      <c r="L334">
        <v>-0.19162986700000001</v>
      </c>
      <c r="M334">
        <v>-1.6947105307120725E-2</v>
      </c>
      <c r="N334">
        <v>-1.0013972449999999</v>
      </c>
      <c r="O334">
        <v>0.26866679500000001</v>
      </c>
      <c r="P334">
        <f t="shared" si="22"/>
        <v>-1.0183443503071206</v>
      </c>
      <c r="Q334">
        <f t="shared" si="23"/>
        <v>0.26535002646125339</v>
      </c>
      <c r="R334">
        <f>+AVERAGE(O334,H334)</f>
        <v>0.31549102849999999</v>
      </c>
      <c r="S334">
        <f>+AVERAGE(E334,L334)</f>
        <v>-9.1191176999999998E-2</v>
      </c>
      <c r="T334">
        <f>+AVERAGE(G334,N334)</f>
        <v>-0.78336327149999996</v>
      </c>
      <c r="U334">
        <v>0.97117491499999997</v>
      </c>
      <c r="V334" s="1">
        <v>1.1399999999999999E-26</v>
      </c>
      <c r="W334">
        <v>2.8825085E-2</v>
      </c>
      <c r="X334" s="1">
        <v>7.1E-16</v>
      </c>
    </row>
    <row r="335" spans="1:24" x14ac:dyDescent="0.25">
      <c r="A335" t="s">
        <v>396</v>
      </c>
      <c r="B335" t="s">
        <v>23</v>
      </c>
      <c r="C335" t="s">
        <v>375</v>
      </c>
      <c r="D335">
        <v>-0.57457681100000002</v>
      </c>
      <c r="E335">
        <v>0.201179001</v>
      </c>
      <c r="F335">
        <v>-0.40867213275064479</v>
      </c>
      <c r="G335">
        <v>-0.37339781100000002</v>
      </c>
      <c r="H335">
        <v>0.40772024699999998</v>
      </c>
      <c r="I335">
        <f t="shared" si="20"/>
        <v>-0.78206994275064479</v>
      </c>
      <c r="J335">
        <f t="shared" si="21"/>
        <v>0.31387393756533383</v>
      </c>
      <c r="K335">
        <v>-0.80976737799999998</v>
      </c>
      <c r="L335">
        <v>0.38601497899999998</v>
      </c>
      <c r="M335">
        <v>-0.70604191684048312</v>
      </c>
      <c r="N335">
        <v>-0.423752399</v>
      </c>
      <c r="O335">
        <v>0.39561918400000001</v>
      </c>
      <c r="P335">
        <f t="shared" si="22"/>
        <v>-1.1297943158404831</v>
      </c>
      <c r="Q335">
        <f t="shared" si="23"/>
        <v>0.24419906118566123</v>
      </c>
      <c r="R335">
        <f>+AVERAGE(O335,H335)</f>
        <v>0.40166971549999997</v>
      </c>
      <c r="S335">
        <f>+AVERAGE(E335,L335)</f>
        <v>0.29359699</v>
      </c>
      <c r="T335">
        <f>+AVERAGE(G335,N335)</f>
        <v>-0.39857510500000004</v>
      </c>
      <c r="U335">
        <v>0.99995119799999999</v>
      </c>
      <c r="V335" s="1">
        <v>2.5699999999999999E-28</v>
      </c>
      <c r="W335" s="1">
        <v>4.88E-5</v>
      </c>
      <c r="X335" s="1">
        <v>4.8799999999999999E-17</v>
      </c>
    </row>
    <row r="336" spans="1:24" x14ac:dyDescent="0.25">
      <c r="A336" t="s">
        <v>396</v>
      </c>
      <c r="B336" t="s">
        <v>16</v>
      </c>
      <c r="C336" t="s">
        <v>376</v>
      </c>
      <c r="D336">
        <v>-0.57457681100000002</v>
      </c>
      <c r="E336">
        <v>0.159292135</v>
      </c>
      <c r="F336">
        <v>-0.79503465290812969</v>
      </c>
      <c r="G336">
        <v>-0.41528467600000002</v>
      </c>
      <c r="H336">
        <v>0.39764563400000003</v>
      </c>
      <c r="I336">
        <f t="shared" si="20"/>
        <v>-1.2103193289081298</v>
      </c>
      <c r="J336">
        <f t="shared" si="21"/>
        <v>0.22964455425931707</v>
      </c>
      <c r="K336">
        <v>-0.80976737799999998</v>
      </c>
      <c r="L336">
        <v>0.194059971</v>
      </c>
      <c r="M336">
        <v>-0.92641011837371778</v>
      </c>
      <c r="N336">
        <v>-0.61570740700000004</v>
      </c>
      <c r="O336">
        <v>0.35075836300000002</v>
      </c>
      <c r="P336">
        <f t="shared" si="22"/>
        <v>-1.5421175253737176</v>
      </c>
      <c r="Q336">
        <f t="shared" si="23"/>
        <v>0.176227659719561</v>
      </c>
      <c r="R336">
        <f>+AVERAGE(O336,H336)</f>
        <v>0.37420199850000002</v>
      </c>
      <c r="S336">
        <f>+AVERAGE(E336,L336)</f>
        <v>0.176676053</v>
      </c>
      <c r="T336">
        <f>+AVERAGE(G336,N336)</f>
        <v>-0.51549604150000006</v>
      </c>
      <c r="U336">
        <v>4.5038965E-2</v>
      </c>
      <c r="V336" s="1">
        <v>2.3499999999999999E-29</v>
      </c>
      <c r="W336">
        <v>0.95496103499999996</v>
      </c>
      <c r="X336" s="1">
        <v>6.6299999999999996E-19</v>
      </c>
    </row>
    <row r="337" spans="1:24" x14ac:dyDescent="0.25">
      <c r="A337" t="s">
        <v>396</v>
      </c>
      <c r="B337" t="s">
        <v>19</v>
      </c>
      <c r="C337" t="s">
        <v>377</v>
      </c>
      <c r="D337">
        <v>-0.57457681100000002</v>
      </c>
      <c r="E337">
        <v>-8.5642285999999998E-2</v>
      </c>
      <c r="F337">
        <v>-0.56248729144923193</v>
      </c>
      <c r="G337">
        <v>-0.66021909700000003</v>
      </c>
      <c r="H337">
        <v>0.34069039600000001</v>
      </c>
      <c r="I337">
        <f t="shared" si="20"/>
        <v>-1.222706388449232</v>
      </c>
      <c r="J337">
        <f t="shared" si="21"/>
        <v>0.22746052719458695</v>
      </c>
      <c r="K337">
        <v>-0.80976737799999998</v>
      </c>
      <c r="L337">
        <v>-0.273763637</v>
      </c>
      <c r="M337">
        <v>-0.70414875992547199</v>
      </c>
      <c r="N337">
        <v>-1.0835310149999999</v>
      </c>
      <c r="O337">
        <v>0.252838387</v>
      </c>
      <c r="P337">
        <f t="shared" si="22"/>
        <v>-1.787679774925472</v>
      </c>
      <c r="Q337">
        <f t="shared" si="23"/>
        <v>0.14335742549630742</v>
      </c>
      <c r="R337">
        <f>+AVERAGE(O337,H337)</f>
        <v>0.2967643915</v>
      </c>
      <c r="S337">
        <f>+AVERAGE(E337,L337)</f>
        <v>-0.17970296150000001</v>
      </c>
      <c r="T337">
        <f>+AVERAGE(G337,N337)</f>
        <v>-0.87187505599999993</v>
      </c>
      <c r="U337">
        <v>0.991009425</v>
      </c>
      <c r="V337" s="1">
        <v>9.9999999999999994E-30</v>
      </c>
      <c r="W337">
        <v>8.9905750000000006E-3</v>
      </c>
      <c r="X337" s="1">
        <v>4.0199999999999998E-15</v>
      </c>
    </row>
    <row r="338" spans="1:24" x14ac:dyDescent="0.25">
      <c r="A338" t="s">
        <v>396</v>
      </c>
      <c r="B338" t="s">
        <v>19</v>
      </c>
      <c r="C338" t="s">
        <v>378</v>
      </c>
      <c r="D338">
        <v>-0.57457681100000002</v>
      </c>
      <c r="E338">
        <v>0.18381418699999999</v>
      </c>
      <c r="F338">
        <v>-0.56248729144923193</v>
      </c>
      <c r="G338">
        <v>-0.39076262499999997</v>
      </c>
      <c r="H338">
        <v>0.40353372799999998</v>
      </c>
      <c r="I338">
        <f t="shared" si="20"/>
        <v>-0.95324991544923199</v>
      </c>
      <c r="J338">
        <f t="shared" si="21"/>
        <v>0.27823170763381649</v>
      </c>
      <c r="K338">
        <v>-0.80976737799999998</v>
      </c>
      <c r="L338">
        <v>0.26853491600000001</v>
      </c>
      <c r="M338">
        <v>-0.70414875992547199</v>
      </c>
      <c r="N338">
        <v>-0.54123246199999997</v>
      </c>
      <c r="O338">
        <v>0.36790092699999999</v>
      </c>
      <c r="P338">
        <f t="shared" si="22"/>
        <v>-1.2453812219254718</v>
      </c>
      <c r="Q338">
        <f t="shared" si="23"/>
        <v>0.22350069533885958</v>
      </c>
      <c r="R338">
        <f>+AVERAGE(O338,H338)</f>
        <v>0.38571732749999998</v>
      </c>
      <c r="S338">
        <f>+AVERAGE(E338,L338)</f>
        <v>0.22617455149999999</v>
      </c>
      <c r="T338">
        <f>+AVERAGE(G338,N338)</f>
        <v>-0.4659975435</v>
      </c>
      <c r="U338">
        <v>0.79946472599999996</v>
      </c>
      <c r="V338" s="1">
        <v>7.1800000000000003E-26</v>
      </c>
      <c r="W338">
        <v>0.20053527400000001</v>
      </c>
      <c r="X338" s="1">
        <v>3.26E-18</v>
      </c>
    </row>
    <row r="339" spans="1:24" x14ac:dyDescent="0.25">
      <c r="A339" t="s">
        <v>396</v>
      </c>
      <c r="B339" t="s">
        <v>17</v>
      </c>
      <c r="C339" t="s">
        <v>379</v>
      </c>
      <c r="D339">
        <v>-0.57457681100000002</v>
      </c>
      <c r="E339">
        <v>-4.4437628999999999E-2</v>
      </c>
      <c r="F339">
        <v>6.8561155351637995E-2</v>
      </c>
      <c r="G339">
        <v>-0.61901444000000005</v>
      </c>
      <c r="H339">
        <v>0.35000563499999998</v>
      </c>
      <c r="I339">
        <f t="shared" si="20"/>
        <v>-0.55045328464836207</v>
      </c>
      <c r="J339">
        <f t="shared" si="21"/>
        <v>0.36575924988186614</v>
      </c>
      <c r="K339">
        <v>-0.80976737799999998</v>
      </c>
      <c r="L339">
        <v>-8.1026253000000006E-2</v>
      </c>
      <c r="M339">
        <v>-0.32903365650294131</v>
      </c>
      <c r="N339">
        <v>-0.89079363099999997</v>
      </c>
      <c r="O339">
        <v>0.29094607700000003</v>
      </c>
      <c r="P339">
        <f t="shared" si="22"/>
        <v>-1.2198272875029412</v>
      </c>
      <c r="Q339">
        <f t="shared" si="23"/>
        <v>0.22796684619275401</v>
      </c>
      <c r="R339">
        <f>+AVERAGE(O339,H339)</f>
        <v>0.320475856</v>
      </c>
      <c r="S339">
        <f>+AVERAGE(E339,L339)</f>
        <v>-6.2731940999999999E-2</v>
      </c>
      <c r="T339">
        <f>+AVERAGE(G339,N339)</f>
        <v>-0.75490403550000007</v>
      </c>
      <c r="U339">
        <v>0.99993084200000004</v>
      </c>
      <c r="V339" s="1">
        <v>9.0199999999999997E-26</v>
      </c>
      <c r="W339" s="1">
        <v>6.9200000000000002E-5</v>
      </c>
      <c r="X339" s="1">
        <v>5.1099999999999998E-18</v>
      </c>
    </row>
    <row r="340" spans="1:24" x14ac:dyDescent="0.25">
      <c r="A340" t="s">
        <v>396</v>
      </c>
      <c r="B340" t="s">
        <v>21</v>
      </c>
      <c r="C340" t="s">
        <v>380</v>
      </c>
      <c r="D340">
        <v>-0.57457681100000002</v>
      </c>
      <c r="E340">
        <v>-0.23472331900000001</v>
      </c>
      <c r="F340">
        <v>9.5030818057487976E-3</v>
      </c>
      <c r="G340">
        <v>-0.80930013000000001</v>
      </c>
      <c r="H340">
        <v>0.308039654</v>
      </c>
      <c r="I340">
        <f t="shared" si="20"/>
        <v>-0.79979704819425124</v>
      </c>
      <c r="J340">
        <f t="shared" si="21"/>
        <v>0.31006893390530993</v>
      </c>
      <c r="K340">
        <v>-0.80976737799999998</v>
      </c>
      <c r="L340">
        <v>-0.26466943700000001</v>
      </c>
      <c r="M340">
        <v>-1.6947105307120725E-2</v>
      </c>
      <c r="N340">
        <v>-1.0744368150000001</v>
      </c>
      <c r="O340">
        <v>0.25456024100000002</v>
      </c>
      <c r="P340">
        <f t="shared" si="22"/>
        <v>-1.0913839203071205</v>
      </c>
      <c r="Q340">
        <f t="shared" si="23"/>
        <v>0.25135776676540816</v>
      </c>
      <c r="R340">
        <f>+AVERAGE(O340,H340)</f>
        <v>0.28129994749999998</v>
      </c>
      <c r="S340">
        <f>+AVERAGE(E340,L340)</f>
        <v>-0.249696378</v>
      </c>
      <c r="T340">
        <f>+AVERAGE(G340,N340)</f>
        <v>-0.94186847250000005</v>
      </c>
      <c r="U340">
        <v>0.997205169</v>
      </c>
      <c r="V340" s="1">
        <v>1.3500000000000001E-25</v>
      </c>
      <c r="W340">
        <v>2.7948309999999998E-3</v>
      </c>
      <c r="X340" s="1">
        <v>8.8700000000000004E-17</v>
      </c>
    </row>
    <row r="341" spans="1:24" x14ac:dyDescent="0.25">
      <c r="A341" t="s">
        <v>396</v>
      </c>
      <c r="B341" t="s">
        <v>19</v>
      </c>
      <c r="C341" t="s">
        <v>381</v>
      </c>
      <c r="D341">
        <v>-0.57457681100000002</v>
      </c>
      <c r="E341">
        <v>-2.3413244999999999E-2</v>
      </c>
      <c r="F341">
        <v>-0.56248729144923193</v>
      </c>
      <c r="G341">
        <v>-0.59799005599999999</v>
      </c>
      <c r="H341">
        <v>0.35480367200000001</v>
      </c>
      <c r="I341">
        <f t="shared" si="20"/>
        <v>-1.1604773474492318</v>
      </c>
      <c r="J341">
        <f t="shared" si="21"/>
        <v>0.23858055945793094</v>
      </c>
      <c r="K341">
        <v>-0.80976737799999998</v>
      </c>
      <c r="L341">
        <v>0.26853491600000001</v>
      </c>
      <c r="M341">
        <v>-0.70414875992547199</v>
      </c>
      <c r="N341">
        <v>-0.54123246199999997</v>
      </c>
      <c r="O341">
        <v>0.36790092699999999</v>
      </c>
      <c r="P341">
        <f t="shared" si="22"/>
        <v>-1.2453812219254718</v>
      </c>
      <c r="Q341">
        <f t="shared" si="23"/>
        <v>0.22350069533885958</v>
      </c>
      <c r="R341">
        <f>+AVERAGE(O341,H341)</f>
        <v>0.36135229950000003</v>
      </c>
      <c r="S341">
        <f>+AVERAGE(E341,L341)</f>
        <v>0.12256083550000001</v>
      </c>
      <c r="T341">
        <f>+AVERAGE(G341,N341)</f>
        <v>-0.56961125899999998</v>
      </c>
      <c r="U341">
        <v>0.99992324300000002</v>
      </c>
      <c r="V341" s="1">
        <v>6.3300000000000004E-26</v>
      </c>
      <c r="W341" s="1">
        <v>7.6799999999999997E-5</v>
      </c>
      <c r="X341" s="1">
        <v>3.6399999999999999E-18</v>
      </c>
    </row>
    <row r="342" spans="1:24" x14ac:dyDescent="0.25">
      <c r="A342" t="s">
        <v>396</v>
      </c>
      <c r="B342" t="s">
        <v>25</v>
      </c>
      <c r="C342" t="s">
        <v>382</v>
      </c>
      <c r="D342">
        <v>-0.57457681100000002</v>
      </c>
      <c r="E342">
        <v>-0.206613934</v>
      </c>
      <c r="F342">
        <v>-9.2997517450181935E-2</v>
      </c>
      <c r="G342">
        <v>-0.78119074499999996</v>
      </c>
      <c r="H342">
        <v>0.31406330999999998</v>
      </c>
      <c r="I342">
        <f t="shared" si="20"/>
        <v>-0.87418826245018189</v>
      </c>
      <c r="J342">
        <f t="shared" si="21"/>
        <v>0.29438355966484703</v>
      </c>
      <c r="K342">
        <v>-0.80976737799999998</v>
      </c>
      <c r="L342">
        <v>-0.29724774300000001</v>
      </c>
      <c r="M342">
        <v>-0.11517847013335669</v>
      </c>
      <c r="N342">
        <v>-1.1070151210000001</v>
      </c>
      <c r="O342">
        <v>0.24842778099999999</v>
      </c>
      <c r="P342">
        <f t="shared" si="22"/>
        <v>-1.2221935911333566</v>
      </c>
      <c r="Q342">
        <f t="shared" si="23"/>
        <v>0.22755064967874489</v>
      </c>
      <c r="R342">
        <f>+AVERAGE(O342,H342)</f>
        <v>0.28124554549999997</v>
      </c>
      <c r="S342">
        <f>+AVERAGE(E342,L342)</f>
        <v>-0.25193083849999998</v>
      </c>
      <c r="T342">
        <f>+AVERAGE(G342,N342)</f>
        <v>-0.94410293300000003</v>
      </c>
      <c r="U342">
        <v>0.93160827800000001</v>
      </c>
      <c r="V342" s="1">
        <v>1.1100000000000001E-25</v>
      </c>
      <c r="W342">
        <v>6.8391722000000002E-2</v>
      </c>
      <c r="X342" s="1">
        <v>4.3900000000000001E-14</v>
      </c>
    </row>
    <row r="343" spans="1:24" x14ac:dyDescent="0.25">
      <c r="A343" t="s">
        <v>396</v>
      </c>
      <c r="B343" t="s">
        <v>16</v>
      </c>
      <c r="C343" t="s">
        <v>383</v>
      </c>
      <c r="D343">
        <v>-0.57457681100000002</v>
      </c>
      <c r="E343">
        <v>-0.106101662</v>
      </c>
      <c r="F343">
        <v>-0.79503465290812969</v>
      </c>
      <c r="G343">
        <v>-0.68067847299999995</v>
      </c>
      <c r="H343">
        <v>0.33610989099999999</v>
      </c>
      <c r="I343">
        <f t="shared" si="20"/>
        <v>-1.4757131259081298</v>
      </c>
      <c r="J343">
        <f t="shared" si="21"/>
        <v>0.18607579966482576</v>
      </c>
      <c r="K343">
        <v>-0.80976737799999998</v>
      </c>
      <c r="L343">
        <v>-0.10328288100000001</v>
      </c>
      <c r="M343">
        <v>-0.92641011837371778</v>
      </c>
      <c r="N343">
        <v>-0.91305025900000003</v>
      </c>
      <c r="O343">
        <v>0.28637606599999998</v>
      </c>
      <c r="P343">
        <f t="shared" si="22"/>
        <v>-1.8394603773737179</v>
      </c>
      <c r="Q343">
        <f t="shared" si="23"/>
        <v>0.13711512529188546</v>
      </c>
      <c r="R343">
        <f>+AVERAGE(O343,H343)</f>
        <v>0.31124297849999999</v>
      </c>
      <c r="S343">
        <f>+AVERAGE(E343,L343)</f>
        <v>-0.1046922715</v>
      </c>
      <c r="T343">
        <f>+AVERAGE(G343,N343)</f>
        <v>-0.79686436599999999</v>
      </c>
      <c r="U343">
        <v>0.99886896599999997</v>
      </c>
      <c r="V343" s="1">
        <v>4.06E-26</v>
      </c>
      <c r="W343">
        <v>1.1310339999999999E-3</v>
      </c>
      <c r="X343" s="1">
        <v>1.31E-15</v>
      </c>
    </row>
    <row r="344" spans="1:24" x14ac:dyDescent="0.25">
      <c r="A344" t="s">
        <v>396</v>
      </c>
      <c r="B344" t="s">
        <v>16</v>
      </c>
      <c r="C344" t="s">
        <v>384</v>
      </c>
      <c r="D344">
        <v>-0.57457681100000002</v>
      </c>
      <c r="E344">
        <v>-0.27699853499999999</v>
      </c>
      <c r="F344">
        <v>-0.79503465290812969</v>
      </c>
      <c r="G344">
        <v>-0.85157534599999996</v>
      </c>
      <c r="H344">
        <v>0.29910249700000002</v>
      </c>
      <c r="I344">
        <f t="shared" si="20"/>
        <v>-1.6466099989081298</v>
      </c>
      <c r="J344">
        <f t="shared" si="21"/>
        <v>0.16156764443399318</v>
      </c>
      <c r="K344">
        <v>-0.80976737799999998</v>
      </c>
      <c r="L344">
        <v>-0.52636289199999997</v>
      </c>
      <c r="M344">
        <v>-0.92641011837371778</v>
      </c>
      <c r="N344">
        <v>-1.33613027</v>
      </c>
      <c r="O344">
        <v>0.208147155</v>
      </c>
      <c r="P344">
        <f t="shared" si="22"/>
        <v>-2.2625403883737176</v>
      </c>
      <c r="Q344">
        <f t="shared" si="23"/>
        <v>9.4273232195398779E-2</v>
      </c>
      <c r="R344">
        <f>+AVERAGE(O344,H344)</f>
        <v>0.25362482600000003</v>
      </c>
      <c r="S344">
        <f>+AVERAGE(E344,L344)</f>
        <v>-0.40168071350000001</v>
      </c>
      <c r="T344">
        <f>+AVERAGE(G344,N344)</f>
        <v>-1.0938528079999998</v>
      </c>
      <c r="U344">
        <v>0.99880811300000005</v>
      </c>
      <c r="V344" s="1">
        <v>5.4499999999999998E-30</v>
      </c>
      <c r="W344">
        <v>1.191887E-3</v>
      </c>
      <c r="X344" s="1">
        <v>1.4199999999999999E-16</v>
      </c>
    </row>
    <row r="345" spans="1:24" x14ac:dyDescent="0.25">
      <c r="A345" t="s">
        <v>396</v>
      </c>
      <c r="B345" t="s">
        <v>24</v>
      </c>
      <c r="C345" t="s">
        <v>385</v>
      </c>
      <c r="D345">
        <v>-0.57457681100000002</v>
      </c>
      <c r="E345">
        <v>-0.18879775500000001</v>
      </c>
      <c r="F345">
        <v>-4.6370389673564522E-2</v>
      </c>
      <c r="G345">
        <v>-0.76337456599999998</v>
      </c>
      <c r="H345">
        <v>0.31791406</v>
      </c>
      <c r="I345">
        <f t="shared" si="20"/>
        <v>-0.80974495567356453</v>
      </c>
      <c r="J345">
        <f t="shared" si="21"/>
        <v>0.30794484676090145</v>
      </c>
      <c r="K345">
        <v>-0.80976737799999998</v>
      </c>
      <c r="L345">
        <v>-0.244460555</v>
      </c>
      <c r="M345">
        <v>-0.13190576120816735</v>
      </c>
      <c r="N345">
        <v>-1.054227933</v>
      </c>
      <c r="O345">
        <v>0.25841404800000001</v>
      </c>
      <c r="P345">
        <f t="shared" si="22"/>
        <v>-1.1861336942081673</v>
      </c>
      <c r="Q345">
        <f t="shared" si="23"/>
        <v>0.23395113449129457</v>
      </c>
      <c r="R345">
        <f>+AVERAGE(O345,H345)</f>
        <v>0.288164054</v>
      </c>
      <c r="S345">
        <f>+AVERAGE(E345,L345)</f>
        <v>-0.21662915500000002</v>
      </c>
      <c r="T345">
        <f>+AVERAGE(G345,N345)</f>
        <v>-0.90880124949999996</v>
      </c>
      <c r="U345">
        <v>0.999727692</v>
      </c>
      <c r="V345" s="1">
        <v>5.6200000000000003E-30</v>
      </c>
      <c r="W345">
        <v>2.7230800000000002E-4</v>
      </c>
      <c r="X345" s="1">
        <v>8.3600000000000005E-17</v>
      </c>
    </row>
    <row r="346" spans="1:24" x14ac:dyDescent="0.25">
      <c r="A346" t="s">
        <v>396</v>
      </c>
      <c r="B346" t="s">
        <v>21</v>
      </c>
      <c r="C346" t="s">
        <v>386</v>
      </c>
      <c r="D346">
        <v>-0.57457681100000002</v>
      </c>
      <c r="E346">
        <v>1.7413970000000001E-2</v>
      </c>
      <c r="F346">
        <v>9.5030818057487976E-3</v>
      </c>
      <c r="G346">
        <v>-0.55716284199999999</v>
      </c>
      <c r="H346">
        <v>0.36420417700000002</v>
      </c>
      <c r="I346">
        <f t="shared" si="20"/>
        <v>-0.54765975919425125</v>
      </c>
      <c r="J346">
        <f t="shared" si="21"/>
        <v>0.36640753298706763</v>
      </c>
      <c r="K346">
        <v>-0.80976737799999998</v>
      </c>
      <c r="L346">
        <v>0.178774919</v>
      </c>
      <c r="M346">
        <v>-1.6947105307120725E-2</v>
      </c>
      <c r="N346">
        <v>-0.63099245900000001</v>
      </c>
      <c r="O346">
        <v>0.34728553499999998</v>
      </c>
      <c r="P346">
        <f t="shared" si="22"/>
        <v>-0.64793956430712074</v>
      </c>
      <c r="Q346">
        <f t="shared" si="23"/>
        <v>0.34345400189558983</v>
      </c>
      <c r="R346">
        <f>+AVERAGE(O346,H346)</f>
        <v>0.355744856</v>
      </c>
      <c r="S346">
        <f>+AVERAGE(E346,L346)</f>
        <v>9.8094444500000003E-2</v>
      </c>
      <c r="T346">
        <f>+AVERAGE(G346,N346)</f>
        <v>-0.59407765050000005</v>
      </c>
      <c r="U346">
        <v>0.98934444399999999</v>
      </c>
      <c r="V346" s="1">
        <v>1.0599999999999999E-29</v>
      </c>
      <c r="W346">
        <v>1.0655556E-2</v>
      </c>
      <c r="X346" s="1">
        <v>3.8799999999999999E-15</v>
      </c>
    </row>
    <row r="347" spans="1:24" x14ac:dyDescent="0.25">
      <c r="A347" t="s">
        <v>396</v>
      </c>
      <c r="B347" t="s">
        <v>23</v>
      </c>
      <c r="C347" t="s">
        <v>387</v>
      </c>
      <c r="D347">
        <v>-0.57457681100000002</v>
      </c>
      <c r="E347">
        <v>-0.143151901</v>
      </c>
      <c r="F347">
        <v>-0.40867213275064479</v>
      </c>
      <c r="G347">
        <v>-0.71772871199999999</v>
      </c>
      <c r="H347">
        <v>0.32789333199999998</v>
      </c>
      <c r="I347">
        <f t="shared" si="20"/>
        <v>-1.1264008447506448</v>
      </c>
      <c r="J347">
        <f t="shared" si="21"/>
        <v>0.24482592371099154</v>
      </c>
      <c r="K347">
        <v>-0.80976737799999998</v>
      </c>
      <c r="L347">
        <v>-7.4194503999999994E-2</v>
      </c>
      <c r="M347">
        <v>-0.70604191684048312</v>
      </c>
      <c r="N347">
        <v>-0.88396188099999995</v>
      </c>
      <c r="O347">
        <v>0.29235745299999999</v>
      </c>
      <c r="P347">
        <f t="shared" si="22"/>
        <v>-1.5900037988404829</v>
      </c>
      <c r="Q347">
        <f t="shared" si="23"/>
        <v>0.16938336246445482</v>
      </c>
      <c r="R347">
        <f>+AVERAGE(O347,H347)</f>
        <v>0.31012539249999999</v>
      </c>
      <c r="S347">
        <f>+AVERAGE(E347,L347)</f>
        <v>-0.1086732025</v>
      </c>
      <c r="T347">
        <f>+AVERAGE(G347,N347)</f>
        <v>-0.80084529649999991</v>
      </c>
      <c r="U347">
        <v>0.99980052500000005</v>
      </c>
      <c r="V347" s="1">
        <v>3.6499999999999997E-27</v>
      </c>
      <c r="W347">
        <v>1.9947500000000001E-4</v>
      </c>
      <c r="X347" s="1">
        <v>6.5800000000000004E-16</v>
      </c>
    </row>
    <row r="348" spans="1:24" x14ac:dyDescent="0.25">
      <c r="A348" t="s">
        <v>396</v>
      </c>
      <c r="B348" t="s">
        <v>16</v>
      </c>
      <c r="C348" t="s">
        <v>388</v>
      </c>
      <c r="D348">
        <v>-0.57457681100000002</v>
      </c>
      <c r="E348">
        <v>-1.9141623999999999E-2</v>
      </c>
      <c r="F348">
        <v>-0.79503465290812969</v>
      </c>
      <c r="G348">
        <v>-0.59371843499999999</v>
      </c>
      <c r="H348">
        <v>0.35578212799999998</v>
      </c>
      <c r="I348">
        <f t="shared" si="20"/>
        <v>-1.3887530879081296</v>
      </c>
      <c r="J348">
        <f t="shared" si="21"/>
        <v>0.19960689387408875</v>
      </c>
      <c r="K348">
        <v>-0.80976737799999998</v>
      </c>
      <c r="L348">
        <v>-5.0279259999999999E-2</v>
      </c>
      <c r="M348">
        <v>-0.92641011837371778</v>
      </c>
      <c r="N348">
        <v>-0.86004663699999995</v>
      </c>
      <c r="O348">
        <v>0.29732960200000003</v>
      </c>
      <c r="P348">
        <f t="shared" si="22"/>
        <v>-1.7864567563737177</v>
      </c>
      <c r="Q348">
        <f t="shared" si="23"/>
        <v>0.14350768512472842</v>
      </c>
      <c r="R348">
        <f>+AVERAGE(O348,H348)</f>
        <v>0.326555865</v>
      </c>
      <c r="S348">
        <f>+AVERAGE(E348,L348)</f>
        <v>-3.4710442000000001E-2</v>
      </c>
      <c r="T348">
        <f>+AVERAGE(G348,N348)</f>
        <v>-0.72688253599999997</v>
      </c>
      <c r="U348">
        <v>0.99998972600000002</v>
      </c>
      <c r="V348" s="1">
        <v>4.9300000000000004E-28</v>
      </c>
      <c r="W348" s="1">
        <v>1.03E-5</v>
      </c>
      <c r="X348" s="1">
        <v>7.5699999999999996E-15</v>
      </c>
    </row>
    <row r="349" spans="1:24" x14ac:dyDescent="0.25">
      <c r="A349" t="s">
        <v>396</v>
      </c>
      <c r="B349" t="s">
        <v>20</v>
      </c>
      <c r="C349" t="s">
        <v>389</v>
      </c>
      <c r="D349">
        <v>-0.57457681100000002</v>
      </c>
      <c r="E349">
        <v>-0.159802412</v>
      </c>
      <c r="F349">
        <v>-7.2208879421957153E-2</v>
      </c>
      <c r="G349">
        <v>-0.73437922300000003</v>
      </c>
      <c r="H349">
        <v>0.32423447399999999</v>
      </c>
      <c r="I349">
        <f t="shared" si="20"/>
        <v>-0.80658810242195722</v>
      </c>
      <c r="J349">
        <f t="shared" si="21"/>
        <v>0.30861802655050208</v>
      </c>
      <c r="K349">
        <v>-0.80976737799999998</v>
      </c>
      <c r="L349">
        <v>-0.26626250400000001</v>
      </c>
      <c r="M349">
        <v>-0.15262980225704867</v>
      </c>
      <c r="N349">
        <v>-1.076029882</v>
      </c>
      <c r="O349">
        <v>0.25425806000000001</v>
      </c>
      <c r="P349">
        <f t="shared" si="22"/>
        <v>-1.2286596842570487</v>
      </c>
      <c r="Q349">
        <f t="shared" si="23"/>
        <v>0.22641609842391558</v>
      </c>
      <c r="R349">
        <f>+AVERAGE(O349,H349)</f>
        <v>0.289246267</v>
      </c>
      <c r="S349">
        <f>+AVERAGE(E349,L349)</f>
        <v>-0.21303245800000001</v>
      </c>
      <c r="T349">
        <f>+AVERAGE(G349,N349)</f>
        <v>-0.90520455250000009</v>
      </c>
      <c r="U349">
        <v>0.998755277</v>
      </c>
      <c r="V349" s="1">
        <v>4.4900000000000001E-25</v>
      </c>
      <c r="W349">
        <v>1.2447230000000001E-3</v>
      </c>
      <c r="X349" s="1">
        <v>2.3600000000000001E-17</v>
      </c>
    </row>
    <row r="350" spans="1:24" x14ac:dyDescent="0.25">
      <c r="A350" t="s">
        <v>396</v>
      </c>
      <c r="B350" t="s">
        <v>23</v>
      </c>
      <c r="C350" t="s">
        <v>390</v>
      </c>
      <c r="D350">
        <v>-0.57457681100000002</v>
      </c>
      <c r="E350">
        <v>0.14454792299999999</v>
      </c>
      <c r="F350">
        <v>-0.40867213275064479</v>
      </c>
      <c r="G350">
        <v>-0.43002888900000003</v>
      </c>
      <c r="H350">
        <v>0.39411943300000002</v>
      </c>
      <c r="I350">
        <f t="shared" si="20"/>
        <v>-0.8387010207506449</v>
      </c>
      <c r="J350">
        <f t="shared" si="21"/>
        <v>0.30180843455026091</v>
      </c>
      <c r="K350">
        <v>-0.80976737799999998</v>
      </c>
      <c r="L350">
        <v>0.270098212</v>
      </c>
      <c r="M350">
        <v>-0.70604191684048312</v>
      </c>
      <c r="N350">
        <v>-0.53966916600000003</v>
      </c>
      <c r="O350">
        <v>0.36826454600000003</v>
      </c>
      <c r="P350">
        <f t="shared" si="22"/>
        <v>-1.2457110828404829</v>
      </c>
      <c r="Q350">
        <f t="shared" si="23"/>
        <v>0.22344345381371522</v>
      </c>
      <c r="R350">
        <f>+AVERAGE(O350,H350)</f>
        <v>0.38119198949999999</v>
      </c>
      <c r="S350">
        <f>+AVERAGE(E350,L350)</f>
        <v>0.20732306750000001</v>
      </c>
      <c r="T350">
        <f>+AVERAGE(G350,N350)</f>
        <v>-0.48484902750000003</v>
      </c>
      <c r="U350">
        <v>0.99994609400000001</v>
      </c>
      <c r="V350" s="1">
        <v>3.0599999999999999E-27</v>
      </c>
      <c r="W350" s="1">
        <v>5.3900000000000002E-5</v>
      </c>
      <c r="X350" s="1">
        <v>9.7899999999999998E-17</v>
      </c>
    </row>
    <row r="351" spans="1:24" x14ac:dyDescent="0.25">
      <c r="A351" t="s">
        <v>396</v>
      </c>
      <c r="B351" t="s">
        <v>16</v>
      </c>
      <c r="C351" t="s">
        <v>391</v>
      </c>
      <c r="D351">
        <v>-0.57457681100000002</v>
      </c>
      <c r="E351">
        <v>-2.9568601999999999E-2</v>
      </c>
      <c r="F351">
        <v>-0.79503465290812969</v>
      </c>
      <c r="G351">
        <v>-0.60414541300000002</v>
      </c>
      <c r="H351">
        <v>0.35339586200000001</v>
      </c>
      <c r="I351">
        <f t="shared" si="20"/>
        <v>-1.3991800659081297</v>
      </c>
      <c r="J351">
        <f t="shared" si="21"/>
        <v>0.19794625483719136</v>
      </c>
      <c r="K351">
        <v>-0.80976737799999998</v>
      </c>
      <c r="L351">
        <v>1.224688E-3</v>
      </c>
      <c r="M351">
        <v>-0.92641011837371778</v>
      </c>
      <c r="N351">
        <v>-0.80854269000000001</v>
      </c>
      <c r="O351">
        <v>0.30820112700000002</v>
      </c>
      <c r="P351">
        <f t="shared" si="22"/>
        <v>-1.7349528083737178</v>
      </c>
      <c r="Q351">
        <f t="shared" si="23"/>
        <v>0.14995515701557569</v>
      </c>
      <c r="R351">
        <f>+AVERAGE(O351,H351)</f>
        <v>0.33079849449999998</v>
      </c>
      <c r="S351">
        <f>+AVERAGE(E351,L351)</f>
        <v>-1.4171956999999999E-2</v>
      </c>
      <c r="T351">
        <f>+AVERAGE(G351,N351)</f>
        <v>-0.70634405150000001</v>
      </c>
      <c r="U351">
        <v>0.89359209299999998</v>
      </c>
      <c r="V351" s="1">
        <v>1.3800000000000001E-26</v>
      </c>
      <c r="W351">
        <v>0.106407907</v>
      </c>
      <c r="X351" s="1">
        <v>1.8400000000000001E-16</v>
      </c>
    </row>
  </sheetData>
  <autoFilter ref="A1:X351" xr:uid="{1EECF6A3-40F6-4341-8AC6-1874F1207B8E}">
    <sortState xmlns:xlrd2="http://schemas.microsoft.com/office/spreadsheetml/2017/richdata2" ref="A2:X351">
      <sortCondition ref="A1:A35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FA53B-801B-485C-8D3A-F8A471758155}">
  <dimension ref="A1:E354"/>
  <sheetViews>
    <sheetView tabSelected="1" workbookViewId="0">
      <selection activeCell="E315" sqref="E315"/>
    </sheetView>
  </sheetViews>
  <sheetFormatPr baseColWidth="10" defaultRowHeight="15" x14ac:dyDescent="0.25"/>
  <cols>
    <col min="1" max="1" width="13" bestFit="1" customWidth="1"/>
    <col min="2" max="2" width="12.140625" bestFit="1" customWidth="1"/>
    <col min="3" max="3" width="24.85546875" bestFit="1" customWidth="1"/>
    <col min="4" max="4" width="27.28515625" bestFit="1" customWidth="1"/>
    <col min="5" max="5" width="26.42578125" bestFit="1" customWidth="1"/>
  </cols>
  <sheetData>
    <row r="1" spans="1:5" x14ac:dyDescent="0.25">
      <c r="A1" s="2" t="s">
        <v>7</v>
      </c>
      <c r="B1" t="s">
        <v>14</v>
      </c>
    </row>
    <row r="3" spans="1:5" x14ac:dyDescent="0.25">
      <c r="C3" s="2" t="s">
        <v>397</v>
      </c>
    </row>
    <row r="4" spans="1:5" x14ac:dyDescent="0.25">
      <c r="A4" s="2" t="s">
        <v>394</v>
      </c>
      <c r="B4" s="2" t="s">
        <v>1</v>
      </c>
      <c r="C4" t="s">
        <v>398</v>
      </c>
      <c r="D4" t="s">
        <v>399</v>
      </c>
      <c r="E4" t="s">
        <v>400</v>
      </c>
    </row>
    <row r="5" spans="1:5" x14ac:dyDescent="0.25">
      <c r="A5" t="s">
        <v>395</v>
      </c>
      <c r="B5" t="s">
        <v>179</v>
      </c>
      <c r="C5" s="4">
        <v>0.12030459883103325</v>
      </c>
      <c r="D5" s="4">
        <v>6.5820349470669268E-2</v>
      </c>
      <c r="E5" s="3">
        <v>9.3062474150851254E-2</v>
      </c>
    </row>
    <row r="6" spans="1:5" x14ac:dyDescent="0.25">
      <c r="A6" t="s">
        <v>395</v>
      </c>
      <c r="B6" t="s">
        <v>46</v>
      </c>
      <c r="C6" s="4">
        <v>0.13324293091262931</v>
      </c>
      <c r="D6" s="4">
        <v>6.1082452498430771E-2</v>
      </c>
      <c r="E6" s="3">
        <v>9.7162691705530047E-2</v>
      </c>
    </row>
    <row r="7" spans="1:5" x14ac:dyDescent="0.25">
      <c r="A7" t="s">
        <v>395</v>
      </c>
      <c r="B7" t="s">
        <v>34</v>
      </c>
      <c r="C7" s="4">
        <v>0.13334441150368689</v>
      </c>
      <c r="D7" s="4">
        <v>6.2286068191530437E-2</v>
      </c>
      <c r="E7" s="3">
        <v>9.7815239847608662E-2</v>
      </c>
    </row>
    <row r="8" spans="1:5" x14ac:dyDescent="0.25">
      <c r="A8" t="s">
        <v>395</v>
      </c>
      <c r="B8" t="s">
        <v>239</v>
      </c>
      <c r="C8" s="4">
        <v>0.15173116243739329</v>
      </c>
      <c r="D8" s="4">
        <v>7.5829239471350313E-2</v>
      </c>
      <c r="E8" s="3">
        <v>0.1137802009543718</v>
      </c>
    </row>
    <row r="9" spans="1:5" x14ac:dyDescent="0.25">
      <c r="A9" t="s">
        <v>395</v>
      </c>
      <c r="B9" t="s">
        <v>32</v>
      </c>
      <c r="C9" s="4">
        <v>0.17654560495783031</v>
      </c>
      <c r="D9" s="4">
        <v>7.3342367197471323E-2</v>
      </c>
      <c r="E9" s="3">
        <v>0.12494398607765081</v>
      </c>
    </row>
    <row r="10" spans="1:5" x14ac:dyDescent="0.25">
      <c r="A10" t="s">
        <v>395</v>
      </c>
      <c r="B10" t="s">
        <v>122</v>
      </c>
      <c r="C10" s="4">
        <v>0.15592056362590462</v>
      </c>
      <c r="D10" s="4">
        <v>0.10294280233068812</v>
      </c>
      <c r="E10" s="3">
        <v>0.12943168297829638</v>
      </c>
    </row>
    <row r="11" spans="1:5" x14ac:dyDescent="0.25">
      <c r="A11" t="s">
        <v>395</v>
      </c>
      <c r="B11" t="s">
        <v>13</v>
      </c>
      <c r="C11" s="4">
        <v>0.1702228158612909</v>
      </c>
      <c r="D11" s="4">
        <v>9.702492383166729E-2</v>
      </c>
      <c r="E11" s="3">
        <v>0.13362386984647909</v>
      </c>
    </row>
    <row r="12" spans="1:5" x14ac:dyDescent="0.25">
      <c r="A12" t="s">
        <v>395</v>
      </c>
      <c r="B12" t="s">
        <v>116</v>
      </c>
      <c r="C12" s="4">
        <v>0.19954484499434311</v>
      </c>
      <c r="D12" s="4">
        <v>8.909116780386403E-2</v>
      </c>
      <c r="E12" s="3">
        <v>0.14431800639910358</v>
      </c>
    </row>
    <row r="13" spans="1:5" x14ac:dyDescent="0.25">
      <c r="A13" t="s">
        <v>395</v>
      </c>
      <c r="B13" t="s">
        <v>207</v>
      </c>
      <c r="C13" s="4">
        <v>0.19090136692446452</v>
      </c>
      <c r="D13" s="4">
        <v>0.10856705577090378</v>
      </c>
      <c r="E13" s="3">
        <v>0.14973421134768417</v>
      </c>
    </row>
    <row r="14" spans="1:5" x14ac:dyDescent="0.25">
      <c r="A14" t="s">
        <v>395</v>
      </c>
      <c r="B14" t="s">
        <v>36</v>
      </c>
      <c r="C14" s="4">
        <v>0.1627963567006509</v>
      </c>
      <c r="D14" s="4">
        <v>0.13833991800428885</v>
      </c>
      <c r="E14" s="3">
        <v>0.15056813735246988</v>
      </c>
    </row>
    <row r="15" spans="1:5" x14ac:dyDescent="0.25">
      <c r="A15" t="s">
        <v>395</v>
      </c>
      <c r="B15" t="s">
        <v>214</v>
      </c>
      <c r="C15" s="4">
        <v>0.19585871213820247</v>
      </c>
      <c r="D15" s="4">
        <v>0.12028484188019102</v>
      </c>
      <c r="E15" s="3">
        <v>0.15807177700919675</v>
      </c>
    </row>
    <row r="16" spans="1:5" x14ac:dyDescent="0.25">
      <c r="A16" t="s">
        <v>395</v>
      </c>
      <c r="B16" t="s">
        <v>105</v>
      </c>
      <c r="C16" s="4">
        <v>0.17885997425205569</v>
      </c>
      <c r="D16" s="4">
        <v>0.13828581124538145</v>
      </c>
      <c r="E16" s="3">
        <v>0.15857289274871855</v>
      </c>
    </row>
    <row r="17" spans="1:5" x14ac:dyDescent="0.25">
      <c r="A17" t="s">
        <v>395</v>
      </c>
      <c r="B17" t="s">
        <v>252</v>
      </c>
      <c r="C17" s="4">
        <v>0.17402001342291537</v>
      </c>
      <c r="D17" s="4">
        <v>0.14749427036889126</v>
      </c>
      <c r="E17" s="3">
        <v>0.16075714189590332</v>
      </c>
    </row>
    <row r="18" spans="1:5" x14ac:dyDescent="0.25">
      <c r="A18" t="s">
        <v>395</v>
      </c>
      <c r="B18" t="s">
        <v>162</v>
      </c>
      <c r="C18" s="4">
        <v>0.19902057256043906</v>
      </c>
      <c r="D18" s="4">
        <v>0.12621798987643584</v>
      </c>
      <c r="E18" s="3">
        <v>0.16261928121843744</v>
      </c>
    </row>
    <row r="19" spans="1:5" x14ac:dyDescent="0.25">
      <c r="A19" t="s">
        <v>395</v>
      </c>
      <c r="B19" t="s">
        <v>56</v>
      </c>
      <c r="C19" s="4">
        <v>0.1944241506207357</v>
      </c>
      <c r="D19" s="4">
        <v>0.13524180945174025</v>
      </c>
      <c r="E19" s="3">
        <v>0.16483298003623797</v>
      </c>
    </row>
    <row r="20" spans="1:5" x14ac:dyDescent="0.25">
      <c r="A20" t="s">
        <v>395</v>
      </c>
      <c r="B20" t="s">
        <v>195</v>
      </c>
      <c r="C20" s="4">
        <v>0.2117459542218417</v>
      </c>
      <c r="D20" s="4">
        <v>0.13828581124538145</v>
      </c>
      <c r="E20" s="3">
        <v>0.17501588273361157</v>
      </c>
    </row>
    <row r="21" spans="1:5" x14ac:dyDescent="0.25">
      <c r="A21" t="s">
        <v>395</v>
      </c>
      <c r="B21" t="s">
        <v>190</v>
      </c>
      <c r="C21" s="4">
        <v>0.1824109331906561</v>
      </c>
      <c r="D21" s="4">
        <v>0.17430920235377262</v>
      </c>
      <c r="E21" s="3">
        <v>0.17836006777221436</v>
      </c>
    </row>
    <row r="22" spans="1:5" x14ac:dyDescent="0.25">
      <c r="A22" t="s">
        <v>395</v>
      </c>
      <c r="B22" t="s">
        <v>76</v>
      </c>
      <c r="C22" s="4">
        <v>0.20019476228265129</v>
      </c>
      <c r="D22" s="4">
        <v>0.15683365003627453</v>
      </c>
      <c r="E22" s="3">
        <v>0.1785142061594629</v>
      </c>
    </row>
    <row r="23" spans="1:5" x14ac:dyDescent="0.25">
      <c r="A23" t="s">
        <v>395</v>
      </c>
      <c r="B23" t="s">
        <v>188</v>
      </c>
      <c r="C23" s="4">
        <v>0.20194478843810321</v>
      </c>
      <c r="D23" s="4">
        <v>0.15688923108423797</v>
      </c>
      <c r="E23" s="3">
        <v>0.17941700976117059</v>
      </c>
    </row>
    <row r="24" spans="1:5" x14ac:dyDescent="0.25">
      <c r="A24" t="s">
        <v>395</v>
      </c>
      <c r="B24" t="s">
        <v>189</v>
      </c>
      <c r="C24" s="4">
        <v>0.20318680556509686</v>
      </c>
      <c r="D24" s="4">
        <v>0.15683365003627453</v>
      </c>
      <c r="E24" s="3">
        <v>0.18001022780068571</v>
      </c>
    </row>
    <row r="25" spans="1:5" x14ac:dyDescent="0.25">
      <c r="A25" t="s">
        <v>395</v>
      </c>
      <c r="B25" t="s">
        <v>113</v>
      </c>
      <c r="C25" s="4">
        <v>0.21483653272579786</v>
      </c>
      <c r="D25" s="4">
        <v>0.14749427036889126</v>
      </c>
      <c r="E25" s="3">
        <v>0.18116540154734456</v>
      </c>
    </row>
    <row r="26" spans="1:5" x14ac:dyDescent="0.25">
      <c r="A26" t="s">
        <v>395</v>
      </c>
      <c r="B26" t="s">
        <v>160</v>
      </c>
      <c r="C26" s="4">
        <v>0.20413626757244419</v>
      </c>
      <c r="D26" s="4">
        <v>0.1662804486307603</v>
      </c>
      <c r="E26" s="3">
        <v>0.18520835810160224</v>
      </c>
    </row>
    <row r="27" spans="1:5" x14ac:dyDescent="0.25">
      <c r="A27" t="s">
        <v>395</v>
      </c>
      <c r="B27" t="s">
        <v>92</v>
      </c>
      <c r="C27" s="4">
        <v>0.21685273805272912</v>
      </c>
      <c r="D27" s="4">
        <v>0.15370520938004695</v>
      </c>
      <c r="E27" s="3">
        <v>0.18527897371638802</v>
      </c>
    </row>
    <row r="28" spans="1:5" x14ac:dyDescent="0.25">
      <c r="A28" t="s">
        <v>395</v>
      </c>
      <c r="B28" t="s">
        <v>53</v>
      </c>
      <c r="C28" s="4">
        <v>0.21014464283433079</v>
      </c>
      <c r="D28" s="4">
        <v>0.17430920235377262</v>
      </c>
      <c r="E28" s="3">
        <v>0.19222692259405172</v>
      </c>
    </row>
    <row r="29" spans="1:5" x14ac:dyDescent="0.25">
      <c r="A29" t="s">
        <v>395</v>
      </c>
      <c r="B29" t="s">
        <v>133</v>
      </c>
      <c r="C29" s="4">
        <v>0.22818002800000117</v>
      </c>
      <c r="D29" s="4">
        <v>0.15683365003627453</v>
      </c>
      <c r="E29" s="3">
        <v>0.19250683901813787</v>
      </c>
    </row>
    <row r="30" spans="1:5" x14ac:dyDescent="0.25">
      <c r="A30" t="s">
        <v>395</v>
      </c>
      <c r="B30" t="s">
        <v>261</v>
      </c>
      <c r="C30" s="4">
        <v>0.19111713929556556</v>
      </c>
      <c r="D30" s="4">
        <v>0.19879139570179277</v>
      </c>
      <c r="E30" s="3">
        <v>0.19495426749867917</v>
      </c>
    </row>
    <row r="31" spans="1:5" x14ac:dyDescent="0.25">
      <c r="A31" t="s">
        <v>395</v>
      </c>
      <c r="B31" t="s">
        <v>120</v>
      </c>
      <c r="C31" s="4">
        <v>0.19914935923429183</v>
      </c>
      <c r="D31" s="4">
        <v>0.19227019074034996</v>
      </c>
      <c r="E31" s="3">
        <v>0.19570977498732089</v>
      </c>
    </row>
    <row r="32" spans="1:5" x14ac:dyDescent="0.25">
      <c r="A32" t="s">
        <v>395</v>
      </c>
      <c r="B32" t="s">
        <v>41</v>
      </c>
      <c r="C32" s="4">
        <v>0.23970859915777304</v>
      </c>
      <c r="D32" s="4">
        <v>0.15217250271028815</v>
      </c>
      <c r="E32" s="3">
        <v>0.19594055093403059</v>
      </c>
    </row>
    <row r="33" spans="1:5" x14ac:dyDescent="0.25">
      <c r="A33" t="s">
        <v>395</v>
      </c>
      <c r="B33" t="s">
        <v>134</v>
      </c>
      <c r="C33" s="4">
        <v>0.21077374364031351</v>
      </c>
      <c r="D33" s="4">
        <v>0.18226134165300883</v>
      </c>
      <c r="E33" s="3">
        <v>0.19651754264666116</v>
      </c>
    </row>
    <row r="34" spans="1:5" x14ac:dyDescent="0.25">
      <c r="A34" t="s">
        <v>395</v>
      </c>
      <c r="B34" t="s">
        <v>183</v>
      </c>
      <c r="C34" s="4">
        <v>0.23744416696831763</v>
      </c>
      <c r="D34" s="4">
        <v>0.15683365003627453</v>
      </c>
      <c r="E34" s="3">
        <v>0.1971389085022961</v>
      </c>
    </row>
    <row r="35" spans="1:5" x14ac:dyDescent="0.25">
      <c r="A35" t="s">
        <v>395</v>
      </c>
      <c r="B35" t="s">
        <v>130</v>
      </c>
      <c r="C35" s="4">
        <v>0.21917144062017077</v>
      </c>
      <c r="D35" s="4">
        <v>0.17583810349769066</v>
      </c>
      <c r="E35" s="3">
        <v>0.19750477205893072</v>
      </c>
    </row>
    <row r="36" spans="1:5" x14ac:dyDescent="0.25">
      <c r="A36" t="s">
        <v>395</v>
      </c>
      <c r="B36" t="s">
        <v>79</v>
      </c>
      <c r="C36" s="4">
        <v>0.25727055541829003</v>
      </c>
      <c r="D36" s="4">
        <v>0.14433185327715692</v>
      </c>
      <c r="E36" s="3">
        <v>0.20080120434772347</v>
      </c>
    </row>
    <row r="37" spans="1:5" x14ac:dyDescent="0.25">
      <c r="A37" t="s">
        <v>395</v>
      </c>
      <c r="B37" t="s">
        <v>184</v>
      </c>
      <c r="C37" s="4">
        <v>0.22635360999628279</v>
      </c>
      <c r="D37" s="4">
        <v>0.17575420570024555</v>
      </c>
      <c r="E37" s="3">
        <v>0.20105390784826416</v>
      </c>
    </row>
    <row r="38" spans="1:5" x14ac:dyDescent="0.25">
      <c r="A38" t="s">
        <v>395</v>
      </c>
      <c r="B38" t="s">
        <v>235</v>
      </c>
      <c r="C38" s="4">
        <v>0.20138654926798641</v>
      </c>
      <c r="D38" s="4">
        <v>0.21335697765545758</v>
      </c>
      <c r="E38" s="3">
        <v>0.20737176346172198</v>
      </c>
    </row>
    <row r="39" spans="1:5" x14ac:dyDescent="0.25">
      <c r="A39" t="s">
        <v>395</v>
      </c>
      <c r="B39" t="s">
        <v>169</v>
      </c>
      <c r="C39" s="4">
        <v>0.25510929616188172</v>
      </c>
      <c r="D39" s="4">
        <v>0.1662804486307603</v>
      </c>
      <c r="E39" s="3">
        <v>0.21069487239632101</v>
      </c>
    </row>
    <row r="40" spans="1:5" x14ac:dyDescent="0.25">
      <c r="A40" t="s">
        <v>395</v>
      </c>
      <c r="B40" t="s">
        <v>163</v>
      </c>
      <c r="C40" s="4">
        <v>0.27085246894044385</v>
      </c>
      <c r="D40" s="4">
        <v>0.15648826451677741</v>
      </c>
      <c r="E40" s="3">
        <v>0.21367036672861062</v>
      </c>
    </row>
    <row r="41" spans="1:5" x14ac:dyDescent="0.25">
      <c r="A41" t="s">
        <v>395</v>
      </c>
      <c r="B41" t="s">
        <v>37</v>
      </c>
      <c r="C41" s="4">
        <v>0.2418943314424262</v>
      </c>
      <c r="D41" s="4">
        <v>0.19036935693891313</v>
      </c>
      <c r="E41" s="3">
        <v>0.21613184419066966</v>
      </c>
    </row>
    <row r="42" spans="1:5" x14ac:dyDescent="0.25">
      <c r="A42" t="s">
        <v>395</v>
      </c>
      <c r="B42" t="s">
        <v>229</v>
      </c>
      <c r="C42" s="4">
        <v>0.22742905632450727</v>
      </c>
      <c r="D42" s="4">
        <v>0.20534743396026942</v>
      </c>
      <c r="E42" s="3">
        <v>0.21638824514238836</v>
      </c>
    </row>
    <row r="43" spans="1:5" x14ac:dyDescent="0.25">
      <c r="A43" t="s">
        <v>395</v>
      </c>
      <c r="B43" t="s">
        <v>40</v>
      </c>
      <c r="C43" s="4">
        <v>0.23756471277049379</v>
      </c>
      <c r="D43" s="4">
        <v>0.19688000202562725</v>
      </c>
      <c r="E43" s="3">
        <v>0.21722235739806051</v>
      </c>
    </row>
    <row r="44" spans="1:5" x14ac:dyDescent="0.25">
      <c r="A44" t="s">
        <v>395</v>
      </c>
      <c r="B44" t="s">
        <v>220</v>
      </c>
      <c r="C44" s="4">
        <v>0.19852772365400115</v>
      </c>
      <c r="D44" s="4">
        <v>0.2385887038305109</v>
      </c>
      <c r="E44" s="3">
        <v>0.21855821374225604</v>
      </c>
    </row>
    <row r="45" spans="1:5" x14ac:dyDescent="0.25">
      <c r="A45" t="s">
        <v>395</v>
      </c>
      <c r="B45" t="s">
        <v>161</v>
      </c>
      <c r="C45" s="4">
        <v>0.24004429723377352</v>
      </c>
      <c r="D45" s="4">
        <v>0.19848697719706263</v>
      </c>
      <c r="E45" s="3">
        <v>0.21926563721541809</v>
      </c>
    </row>
    <row r="46" spans="1:5" x14ac:dyDescent="0.25">
      <c r="A46" t="s">
        <v>395</v>
      </c>
      <c r="B46" t="s">
        <v>127</v>
      </c>
      <c r="C46" s="4">
        <v>0.26372819581409701</v>
      </c>
      <c r="D46" s="4">
        <v>0.18217690237651324</v>
      </c>
      <c r="E46" s="3">
        <v>0.22295254909530512</v>
      </c>
    </row>
    <row r="47" spans="1:5" x14ac:dyDescent="0.25">
      <c r="A47" t="s">
        <v>395</v>
      </c>
      <c r="B47" t="s">
        <v>52</v>
      </c>
      <c r="C47" s="4">
        <v>0.26720536096953224</v>
      </c>
      <c r="D47" s="4">
        <v>0.17904124137551364</v>
      </c>
      <c r="E47" s="3">
        <v>0.22312330117252294</v>
      </c>
    </row>
    <row r="48" spans="1:5" x14ac:dyDescent="0.25">
      <c r="A48" t="s">
        <v>395</v>
      </c>
      <c r="B48" t="s">
        <v>243</v>
      </c>
      <c r="C48" s="4">
        <v>0.25745539688993674</v>
      </c>
      <c r="D48" s="4">
        <v>0.19177492855573966</v>
      </c>
      <c r="E48" s="3">
        <v>0.22461516272283821</v>
      </c>
    </row>
    <row r="49" spans="1:5" x14ac:dyDescent="0.25">
      <c r="A49" t="s">
        <v>395</v>
      </c>
      <c r="B49" t="s">
        <v>69</v>
      </c>
      <c r="C49" s="4">
        <v>0.25984681780689034</v>
      </c>
      <c r="D49" s="4">
        <v>0.19848697719706263</v>
      </c>
      <c r="E49" s="3">
        <v>0.2291668975019765</v>
      </c>
    </row>
    <row r="50" spans="1:5" x14ac:dyDescent="0.25">
      <c r="A50" t="s">
        <v>395</v>
      </c>
      <c r="B50" t="s">
        <v>80</v>
      </c>
      <c r="C50" s="4">
        <v>0.2546534426226969</v>
      </c>
      <c r="D50" s="4">
        <v>0.21162894887436928</v>
      </c>
      <c r="E50" s="3">
        <v>0.23314119574853309</v>
      </c>
    </row>
    <row r="51" spans="1:5" x14ac:dyDescent="0.25">
      <c r="A51" t="s">
        <v>395</v>
      </c>
      <c r="B51" t="s">
        <v>209</v>
      </c>
      <c r="C51" s="4">
        <v>0.21717261713239197</v>
      </c>
      <c r="D51" s="4">
        <v>0.2520717682528017</v>
      </c>
      <c r="E51" s="3">
        <v>0.23462219269259682</v>
      </c>
    </row>
    <row r="52" spans="1:5" x14ac:dyDescent="0.25">
      <c r="A52" t="s">
        <v>395</v>
      </c>
      <c r="B52" t="s">
        <v>30</v>
      </c>
      <c r="C52" s="4">
        <v>0.29732997573604142</v>
      </c>
      <c r="D52" s="4">
        <v>0.17392479297393415</v>
      </c>
      <c r="E52" s="3">
        <v>0.23562738435498778</v>
      </c>
    </row>
    <row r="53" spans="1:5" x14ac:dyDescent="0.25">
      <c r="A53" t="s">
        <v>395</v>
      </c>
      <c r="B53" t="s">
        <v>176</v>
      </c>
      <c r="C53" s="4">
        <v>0.22998408731971098</v>
      </c>
      <c r="D53" s="4">
        <v>0.24334710001898868</v>
      </c>
      <c r="E53" s="3">
        <v>0.23666559366934983</v>
      </c>
    </row>
    <row r="54" spans="1:5" x14ac:dyDescent="0.25">
      <c r="A54" t="s">
        <v>395</v>
      </c>
      <c r="B54" t="s">
        <v>206</v>
      </c>
      <c r="C54" s="4">
        <v>0.27020060325276457</v>
      </c>
      <c r="D54" s="4">
        <v>0.21143341209323077</v>
      </c>
      <c r="E54" s="3">
        <v>0.24081700767299768</v>
      </c>
    </row>
    <row r="55" spans="1:5" x14ac:dyDescent="0.25">
      <c r="A55" t="s">
        <v>395</v>
      </c>
      <c r="B55" t="s">
        <v>186</v>
      </c>
      <c r="C55" s="4">
        <v>0.29140076372391577</v>
      </c>
      <c r="D55" s="4">
        <v>0.19032471969112688</v>
      </c>
      <c r="E55" s="3">
        <v>0.24086274170752131</v>
      </c>
    </row>
    <row r="56" spans="1:5" x14ac:dyDescent="0.25">
      <c r="A56" t="s">
        <v>395</v>
      </c>
      <c r="B56" t="s">
        <v>98</v>
      </c>
      <c r="C56" s="4">
        <v>0.22987421810259809</v>
      </c>
      <c r="D56" s="4">
        <v>0.25288903904075399</v>
      </c>
      <c r="E56" s="3">
        <v>0.24138162857167605</v>
      </c>
    </row>
    <row r="57" spans="1:5" x14ac:dyDescent="0.25">
      <c r="A57" t="s">
        <v>395</v>
      </c>
      <c r="B57" t="s">
        <v>114</v>
      </c>
      <c r="C57" s="4">
        <v>0.25292751793395468</v>
      </c>
      <c r="D57" s="4">
        <v>0.23657861040007541</v>
      </c>
      <c r="E57" s="3">
        <v>0.24475306416701503</v>
      </c>
    </row>
    <row r="58" spans="1:5" x14ac:dyDescent="0.25">
      <c r="A58" t="s">
        <v>395</v>
      </c>
      <c r="B58" t="s">
        <v>156</v>
      </c>
      <c r="C58" s="4">
        <v>0.25409736386246312</v>
      </c>
      <c r="D58" s="4">
        <v>0.23807710063080756</v>
      </c>
      <c r="E58" s="3">
        <v>0.24608723224663534</v>
      </c>
    </row>
    <row r="59" spans="1:5" x14ac:dyDescent="0.25">
      <c r="A59" t="s">
        <v>395</v>
      </c>
      <c r="B59" t="s">
        <v>100</v>
      </c>
      <c r="C59" s="4">
        <v>0.26660304878228358</v>
      </c>
      <c r="D59" s="4">
        <v>0.22601159360615189</v>
      </c>
      <c r="E59" s="3">
        <v>0.24630732119421772</v>
      </c>
    </row>
    <row r="60" spans="1:5" x14ac:dyDescent="0.25">
      <c r="A60" t="s">
        <v>395</v>
      </c>
      <c r="B60" t="s">
        <v>215</v>
      </c>
      <c r="C60" s="4">
        <v>0.258203711688136</v>
      </c>
      <c r="D60" s="4">
        <v>0.2396289261215829</v>
      </c>
      <c r="E60" s="3">
        <v>0.24891631890485943</v>
      </c>
    </row>
    <row r="61" spans="1:5" x14ac:dyDescent="0.25">
      <c r="A61" t="s">
        <v>395</v>
      </c>
      <c r="B61" t="s">
        <v>144</v>
      </c>
      <c r="C61" s="4">
        <v>0.26468285659911039</v>
      </c>
      <c r="D61" s="4">
        <v>0.23396161346556091</v>
      </c>
      <c r="E61" s="3">
        <v>0.24932223503233564</v>
      </c>
    </row>
    <row r="62" spans="1:5" x14ac:dyDescent="0.25">
      <c r="A62" t="s">
        <v>395</v>
      </c>
      <c r="B62" t="s">
        <v>222</v>
      </c>
      <c r="C62" s="4">
        <v>0.24236460502329407</v>
      </c>
      <c r="D62" s="4">
        <v>0.25681672779212639</v>
      </c>
      <c r="E62" s="3">
        <v>0.24959066640771022</v>
      </c>
    </row>
    <row r="63" spans="1:5" x14ac:dyDescent="0.25">
      <c r="A63" t="s">
        <v>395</v>
      </c>
      <c r="B63" t="s">
        <v>28</v>
      </c>
      <c r="C63" s="4">
        <v>0.29538968425722512</v>
      </c>
      <c r="D63" s="4">
        <v>0.20735011316113805</v>
      </c>
      <c r="E63" s="3">
        <v>0.25136989870918158</v>
      </c>
    </row>
    <row r="64" spans="1:5" x14ac:dyDescent="0.25">
      <c r="A64" t="s">
        <v>395</v>
      </c>
      <c r="B64" t="s">
        <v>109</v>
      </c>
      <c r="C64" s="4">
        <v>0.31308629006442507</v>
      </c>
      <c r="D64" s="4">
        <v>0.19486653871788812</v>
      </c>
      <c r="E64" s="3">
        <v>0.25397641439115659</v>
      </c>
    </row>
    <row r="65" spans="1:5" x14ac:dyDescent="0.25">
      <c r="A65" t="s">
        <v>395</v>
      </c>
      <c r="B65" t="s">
        <v>118</v>
      </c>
      <c r="C65" s="4">
        <v>0.26949366021933635</v>
      </c>
      <c r="D65" s="4">
        <v>0.24170030846177532</v>
      </c>
      <c r="E65" s="3">
        <v>0.25559698434055583</v>
      </c>
    </row>
    <row r="66" spans="1:5" x14ac:dyDescent="0.25">
      <c r="A66" t="s">
        <v>395</v>
      </c>
      <c r="B66" t="s">
        <v>167</v>
      </c>
      <c r="C66" s="4">
        <v>0.30070526439181156</v>
      </c>
      <c r="D66" s="4">
        <v>0.21162894887436928</v>
      </c>
      <c r="E66" s="3">
        <v>0.25616710663309039</v>
      </c>
    </row>
    <row r="67" spans="1:5" x14ac:dyDescent="0.25">
      <c r="A67" t="s">
        <v>395</v>
      </c>
      <c r="B67" t="s">
        <v>262</v>
      </c>
      <c r="C67" s="4">
        <v>0.260561625910324</v>
      </c>
      <c r="D67" s="4">
        <v>0.25288903904075399</v>
      </c>
      <c r="E67" s="3">
        <v>0.25672533247553897</v>
      </c>
    </row>
    <row r="68" spans="1:5" x14ac:dyDescent="0.25">
      <c r="A68" t="s">
        <v>395</v>
      </c>
      <c r="B68" t="s">
        <v>47</v>
      </c>
      <c r="C68" s="4">
        <v>0.26642977972317267</v>
      </c>
      <c r="D68" s="4">
        <v>0.25520522276341068</v>
      </c>
      <c r="E68" s="3">
        <v>0.26081750124329167</v>
      </c>
    </row>
    <row r="69" spans="1:5" x14ac:dyDescent="0.25">
      <c r="A69" t="s">
        <v>395</v>
      </c>
      <c r="B69" t="s">
        <v>248</v>
      </c>
      <c r="C69" s="4">
        <v>0.35275503208253217</v>
      </c>
      <c r="D69" s="4">
        <v>0.17358709335450553</v>
      </c>
      <c r="E69" s="3">
        <v>0.26317106271851887</v>
      </c>
    </row>
    <row r="70" spans="1:5" x14ac:dyDescent="0.25">
      <c r="A70" t="s">
        <v>395</v>
      </c>
      <c r="B70" t="s">
        <v>117</v>
      </c>
      <c r="C70" s="4">
        <v>0.26302507676480125</v>
      </c>
      <c r="D70" s="4">
        <v>0.26564553160025417</v>
      </c>
      <c r="E70" s="3">
        <v>0.26433530418252771</v>
      </c>
    </row>
    <row r="71" spans="1:5" x14ac:dyDescent="0.25">
      <c r="A71" t="s">
        <v>395</v>
      </c>
      <c r="B71" t="s">
        <v>93</v>
      </c>
      <c r="C71" s="4">
        <v>0.28801278505707617</v>
      </c>
      <c r="D71" s="4">
        <v>0.24170030846177532</v>
      </c>
      <c r="E71" s="3">
        <v>0.26485654675942572</v>
      </c>
    </row>
    <row r="72" spans="1:5" x14ac:dyDescent="0.25">
      <c r="A72" t="s">
        <v>395</v>
      </c>
      <c r="B72" t="s">
        <v>245</v>
      </c>
      <c r="C72" s="4">
        <v>0.2543049206884429</v>
      </c>
      <c r="D72" s="4">
        <v>0.27930090381771361</v>
      </c>
      <c r="E72" s="3">
        <v>0.26680291225307828</v>
      </c>
    </row>
    <row r="73" spans="1:5" x14ac:dyDescent="0.25">
      <c r="A73" t="s">
        <v>395</v>
      </c>
      <c r="B73" t="s">
        <v>228</v>
      </c>
      <c r="C73" s="4">
        <v>0.29832036111596583</v>
      </c>
      <c r="D73" s="4">
        <v>0.23827597434720596</v>
      </c>
      <c r="E73" s="3">
        <v>0.26829816773158588</v>
      </c>
    </row>
    <row r="74" spans="1:5" x14ac:dyDescent="0.25">
      <c r="A74" t="s">
        <v>395</v>
      </c>
      <c r="B74" t="s">
        <v>66</v>
      </c>
      <c r="C74" s="4">
        <v>0.23674361792639115</v>
      </c>
      <c r="D74" s="4">
        <v>0.29991927202252572</v>
      </c>
      <c r="E74" s="3">
        <v>0.26833144497445843</v>
      </c>
    </row>
    <row r="75" spans="1:5" x14ac:dyDescent="0.25">
      <c r="A75" t="s">
        <v>395</v>
      </c>
      <c r="B75" t="s">
        <v>106</v>
      </c>
      <c r="C75" s="4">
        <v>0.30657899471461891</v>
      </c>
      <c r="D75" s="4">
        <v>0.2313746770742128</v>
      </c>
      <c r="E75" s="3">
        <v>0.26897683589441584</v>
      </c>
    </row>
    <row r="76" spans="1:5" x14ac:dyDescent="0.25">
      <c r="A76" t="s">
        <v>395</v>
      </c>
      <c r="B76" t="s">
        <v>39</v>
      </c>
      <c r="C76" s="4">
        <v>0.30343588140269873</v>
      </c>
      <c r="D76" s="4">
        <v>0.23657861040007541</v>
      </c>
      <c r="E76" s="3">
        <v>0.27000724590138708</v>
      </c>
    </row>
    <row r="77" spans="1:5" x14ac:dyDescent="0.25">
      <c r="A77" t="s">
        <v>395</v>
      </c>
      <c r="B77" t="s">
        <v>177</v>
      </c>
      <c r="C77" s="4">
        <v>0.32744947057103907</v>
      </c>
      <c r="D77" s="4">
        <v>0.21457293249519674</v>
      </c>
      <c r="E77" s="3">
        <v>0.27101120153311792</v>
      </c>
    </row>
    <row r="78" spans="1:5" x14ac:dyDescent="0.25">
      <c r="A78" t="s">
        <v>395</v>
      </c>
      <c r="B78" t="s">
        <v>234</v>
      </c>
      <c r="C78" s="4">
        <v>0.27784326291454364</v>
      </c>
      <c r="D78" s="4">
        <v>0.26710947703751764</v>
      </c>
      <c r="E78" s="3">
        <v>0.27247636997603064</v>
      </c>
    </row>
    <row r="79" spans="1:5" x14ac:dyDescent="0.25">
      <c r="A79" t="s">
        <v>395</v>
      </c>
      <c r="B79" t="s">
        <v>159</v>
      </c>
      <c r="C79" s="4">
        <v>0.31302392733649942</v>
      </c>
      <c r="D79" s="4">
        <v>0.23940022083793622</v>
      </c>
      <c r="E79" s="3">
        <v>0.27621207408721782</v>
      </c>
    </row>
    <row r="80" spans="1:5" x14ac:dyDescent="0.25">
      <c r="A80" t="s">
        <v>395</v>
      </c>
      <c r="B80" t="s">
        <v>155</v>
      </c>
      <c r="C80" s="4">
        <v>0.29600458208701769</v>
      </c>
      <c r="D80" s="4">
        <v>0.25833096827392299</v>
      </c>
      <c r="E80" s="3">
        <v>0.27716777518047031</v>
      </c>
    </row>
    <row r="81" spans="1:5" x14ac:dyDescent="0.25">
      <c r="A81" t="s">
        <v>395</v>
      </c>
      <c r="B81" t="s">
        <v>233</v>
      </c>
      <c r="C81" s="4">
        <v>0.29094159049572343</v>
      </c>
      <c r="D81" s="4">
        <v>0.26879864510666851</v>
      </c>
      <c r="E81" s="3">
        <v>0.27987011780119597</v>
      </c>
    </row>
    <row r="82" spans="1:5" x14ac:dyDescent="0.25">
      <c r="A82" t="s">
        <v>395</v>
      </c>
      <c r="B82" t="s">
        <v>140</v>
      </c>
      <c r="C82" s="4">
        <v>0.28780302361260329</v>
      </c>
      <c r="D82" s="4">
        <v>0.28142601262076855</v>
      </c>
      <c r="E82" s="3">
        <v>0.28461451811668592</v>
      </c>
    </row>
    <row r="83" spans="1:5" x14ac:dyDescent="0.25">
      <c r="A83" t="s">
        <v>395</v>
      </c>
      <c r="B83" t="s">
        <v>211</v>
      </c>
      <c r="C83" s="4">
        <v>0.26334429521949015</v>
      </c>
      <c r="D83" s="4">
        <v>0.31167103146316166</v>
      </c>
      <c r="E83" s="3">
        <v>0.28750766334132594</v>
      </c>
    </row>
    <row r="84" spans="1:5" x14ac:dyDescent="0.25">
      <c r="A84" t="s">
        <v>395</v>
      </c>
      <c r="B84" t="s">
        <v>185</v>
      </c>
      <c r="C84" s="4">
        <v>0.30191397518143576</v>
      </c>
      <c r="D84" s="4">
        <v>0.27421433012658325</v>
      </c>
      <c r="E84" s="3">
        <v>0.28806415265400953</v>
      </c>
    </row>
    <row r="85" spans="1:5" x14ac:dyDescent="0.25">
      <c r="A85" t="s">
        <v>395</v>
      </c>
      <c r="B85" t="s">
        <v>255</v>
      </c>
      <c r="C85" s="4">
        <v>0.28880789824511377</v>
      </c>
      <c r="D85" s="4">
        <v>0.28763263380957299</v>
      </c>
      <c r="E85" s="3">
        <v>0.28822026602734341</v>
      </c>
    </row>
    <row r="86" spans="1:5" x14ac:dyDescent="0.25">
      <c r="A86" t="s">
        <v>395</v>
      </c>
      <c r="B86" t="s">
        <v>196</v>
      </c>
      <c r="C86" s="4">
        <v>0.27800629444178776</v>
      </c>
      <c r="D86" s="4">
        <v>0.30140235360746592</v>
      </c>
      <c r="E86" s="3">
        <v>0.28970432402462687</v>
      </c>
    </row>
    <row r="87" spans="1:5" x14ac:dyDescent="0.25">
      <c r="A87" t="s">
        <v>395</v>
      </c>
      <c r="B87" t="s">
        <v>82</v>
      </c>
      <c r="C87" s="4">
        <v>0.30110112305678943</v>
      </c>
      <c r="D87" s="4">
        <v>0.27877941832979997</v>
      </c>
      <c r="E87" s="3">
        <v>0.2899402706932947</v>
      </c>
    </row>
    <row r="88" spans="1:5" x14ac:dyDescent="0.25">
      <c r="A88" t="s">
        <v>395</v>
      </c>
      <c r="B88" t="s">
        <v>166</v>
      </c>
      <c r="C88" s="4">
        <v>0.33981446211720079</v>
      </c>
      <c r="D88" s="4">
        <v>0.24126950919565751</v>
      </c>
      <c r="E88" s="3">
        <v>0.29054198565642914</v>
      </c>
    </row>
    <row r="89" spans="1:5" x14ac:dyDescent="0.25">
      <c r="A89" t="s">
        <v>395</v>
      </c>
      <c r="B89" t="s">
        <v>158</v>
      </c>
      <c r="C89" s="4">
        <v>0.31253968668923149</v>
      </c>
      <c r="D89" s="4">
        <v>0.27194350014805718</v>
      </c>
      <c r="E89" s="3">
        <v>0.29224159341864431</v>
      </c>
    </row>
    <row r="90" spans="1:5" x14ac:dyDescent="0.25">
      <c r="A90" t="s">
        <v>395</v>
      </c>
      <c r="B90" t="s">
        <v>200</v>
      </c>
      <c r="C90" s="4">
        <v>0.32026337882128292</v>
      </c>
      <c r="D90" s="4">
        <v>0.26512699892897096</v>
      </c>
      <c r="E90" s="3">
        <v>0.29269518887512691</v>
      </c>
    </row>
    <row r="91" spans="1:5" x14ac:dyDescent="0.25">
      <c r="A91" t="s">
        <v>395</v>
      </c>
      <c r="B91" t="s">
        <v>145</v>
      </c>
      <c r="C91" s="4">
        <v>0.32239111110574137</v>
      </c>
      <c r="D91" s="4">
        <v>0.26351204915940818</v>
      </c>
      <c r="E91" s="3">
        <v>0.29295158013257477</v>
      </c>
    </row>
    <row r="92" spans="1:5" x14ac:dyDescent="0.25">
      <c r="A92" t="s">
        <v>395</v>
      </c>
      <c r="B92" t="s">
        <v>175</v>
      </c>
      <c r="C92" s="4">
        <v>0.27309767327686757</v>
      </c>
      <c r="D92" s="4">
        <v>0.31374448278854317</v>
      </c>
      <c r="E92" s="3">
        <v>0.29342107803270534</v>
      </c>
    </row>
    <row r="93" spans="1:5" x14ac:dyDescent="0.25">
      <c r="A93" t="s">
        <v>395</v>
      </c>
      <c r="B93" t="s">
        <v>250</v>
      </c>
      <c r="C93" s="4">
        <v>0.33542559919102971</v>
      </c>
      <c r="D93" s="4">
        <v>0.26091528342709697</v>
      </c>
      <c r="E93" s="3">
        <v>0.29817044130906334</v>
      </c>
    </row>
    <row r="94" spans="1:5" x14ac:dyDescent="0.25">
      <c r="A94" t="s">
        <v>395</v>
      </c>
      <c r="B94" t="s">
        <v>111</v>
      </c>
      <c r="C94" s="4">
        <v>0.26490731581991356</v>
      </c>
      <c r="D94" s="4">
        <v>0.33250044362074688</v>
      </c>
      <c r="E94" s="3">
        <v>0.29870387972033019</v>
      </c>
    </row>
    <row r="95" spans="1:5" x14ac:dyDescent="0.25">
      <c r="A95" t="s">
        <v>395</v>
      </c>
      <c r="B95" t="s">
        <v>102</v>
      </c>
      <c r="C95" s="4">
        <v>0.2951995735679217</v>
      </c>
      <c r="D95" s="4">
        <v>0.30480287156083413</v>
      </c>
      <c r="E95" s="3">
        <v>0.30000122256437789</v>
      </c>
    </row>
    <row r="96" spans="1:5" x14ac:dyDescent="0.25">
      <c r="A96" t="s">
        <v>395</v>
      </c>
      <c r="B96" t="s">
        <v>259</v>
      </c>
      <c r="C96" s="4">
        <v>0.34124495154822643</v>
      </c>
      <c r="D96" s="4">
        <v>0.25953997832433501</v>
      </c>
      <c r="E96" s="3">
        <v>0.30039246493628069</v>
      </c>
    </row>
    <row r="97" spans="1:5" x14ac:dyDescent="0.25">
      <c r="A97" t="s">
        <v>395</v>
      </c>
      <c r="B97" t="s">
        <v>104</v>
      </c>
      <c r="C97" s="4">
        <v>0.2736035105131458</v>
      </c>
      <c r="D97" s="4">
        <v>0.32978379228349802</v>
      </c>
      <c r="E97" s="3">
        <v>0.30169365139832194</v>
      </c>
    </row>
    <row r="98" spans="1:5" x14ac:dyDescent="0.25">
      <c r="A98" t="s">
        <v>395</v>
      </c>
      <c r="B98" t="s">
        <v>108</v>
      </c>
      <c r="C98" s="4">
        <v>0.32215711362911553</v>
      </c>
      <c r="D98" s="4">
        <v>0.28247170542929995</v>
      </c>
      <c r="E98" s="3">
        <v>0.30231440952920774</v>
      </c>
    </row>
    <row r="99" spans="1:5" x14ac:dyDescent="0.25">
      <c r="A99" t="s">
        <v>395</v>
      </c>
      <c r="B99" t="s">
        <v>236</v>
      </c>
      <c r="C99" s="4">
        <v>0.31839257198377785</v>
      </c>
      <c r="D99" s="4">
        <v>0.28721954002799593</v>
      </c>
      <c r="E99" s="3">
        <v>0.30280605600588689</v>
      </c>
    </row>
    <row r="100" spans="1:5" x14ac:dyDescent="0.25">
      <c r="A100" t="s">
        <v>395</v>
      </c>
      <c r="B100" t="s">
        <v>187</v>
      </c>
      <c r="C100" s="4">
        <v>0.31008422472984243</v>
      </c>
      <c r="D100" s="4">
        <v>0.29615526864861347</v>
      </c>
      <c r="E100" s="3">
        <v>0.30311974668922792</v>
      </c>
    </row>
    <row r="101" spans="1:5" x14ac:dyDescent="0.25">
      <c r="A101" t="s">
        <v>395</v>
      </c>
      <c r="B101" t="s">
        <v>85</v>
      </c>
      <c r="C101" s="4">
        <v>0.32831975722077383</v>
      </c>
      <c r="D101" s="4">
        <v>0.28247170542929995</v>
      </c>
      <c r="E101" s="3">
        <v>0.30539573132503689</v>
      </c>
    </row>
    <row r="102" spans="1:5" x14ac:dyDescent="0.25">
      <c r="A102" t="s">
        <v>395</v>
      </c>
      <c r="B102" t="s">
        <v>241</v>
      </c>
      <c r="C102" s="4">
        <v>0.35687897476177965</v>
      </c>
      <c r="D102" s="4">
        <v>0.26091528342709697</v>
      </c>
      <c r="E102" s="3">
        <v>0.30889712909443834</v>
      </c>
    </row>
    <row r="103" spans="1:5" x14ac:dyDescent="0.25">
      <c r="A103" t="s">
        <v>395</v>
      </c>
      <c r="B103" t="s">
        <v>182</v>
      </c>
      <c r="C103" s="4">
        <v>0.34576500151891615</v>
      </c>
      <c r="D103" s="4">
        <v>0.27352082930303984</v>
      </c>
      <c r="E103" s="3">
        <v>0.30964291541097799</v>
      </c>
    </row>
    <row r="104" spans="1:5" x14ac:dyDescent="0.25">
      <c r="A104" t="s">
        <v>395</v>
      </c>
      <c r="B104" t="s">
        <v>198</v>
      </c>
      <c r="C104" s="4">
        <v>0.36757637831661244</v>
      </c>
      <c r="D104" s="4">
        <v>0.25311935884133091</v>
      </c>
      <c r="E104" s="3">
        <v>0.31034786857897168</v>
      </c>
    </row>
    <row r="105" spans="1:5" x14ac:dyDescent="0.25">
      <c r="A105" t="s">
        <v>395</v>
      </c>
      <c r="B105" t="s">
        <v>132</v>
      </c>
      <c r="C105" s="4">
        <v>0.3343411031113222</v>
      </c>
      <c r="D105" s="4">
        <v>0.28721954002799593</v>
      </c>
      <c r="E105" s="3">
        <v>0.31078032156965907</v>
      </c>
    </row>
    <row r="106" spans="1:5" x14ac:dyDescent="0.25">
      <c r="A106" t="s">
        <v>395</v>
      </c>
      <c r="B106" t="s">
        <v>217</v>
      </c>
      <c r="C106" s="4">
        <v>0.38107302423612754</v>
      </c>
      <c r="D106" s="4">
        <v>0.24170030846177532</v>
      </c>
      <c r="E106" s="3">
        <v>0.3113866663489514</v>
      </c>
    </row>
    <row r="107" spans="1:5" x14ac:dyDescent="0.25">
      <c r="A107" t="s">
        <v>395</v>
      </c>
      <c r="B107" t="s">
        <v>103</v>
      </c>
      <c r="C107" s="4">
        <v>0.28620542901191487</v>
      </c>
      <c r="D107" s="4">
        <v>0.33946861041029353</v>
      </c>
      <c r="E107" s="3">
        <v>0.31283701971110423</v>
      </c>
    </row>
    <row r="108" spans="1:5" x14ac:dyDescent="0.25">
      <c r="A108" t="s">
        <v>395</v>
      </c>
      <c r="B108" t="s">
        <v>68</v>
      </c>
      <c r="C108" s="4">
        <v>0.27174190969324186</v>
      </c>
      <c r="D108" s="4">
        <v>0.35553334134687087</v>
      </c>
      <c r="E108" s="3">
        <v>0.31363762552005636</v>
      </c>
    </row>
    <row r="109" spans="1:5" x14ac:dyDescent="0.25">
      <c r="A109" t="s">
        <v>395</v>
      </c>
      <c r="B109" t="s">
        <v>126</v>
      </c>
      <c r="C109" s="4">
        <v>0.3621636724362392</v>
      </c>
      <c r="D109" s="4">
        <v>0.26633973499283381</v>
      </c>
      <c r="E109" s="3">
        <v>0.31425170371453648</v>
      </c>
    </row>
    <row r="110" spans="1:5" x14ac:dyDescent="0.25">
      <c r="A110" t="s">
        <v>395</v>
      </c>
      <c r="B110" t="s">
        <v>260</v>
      </c>
      <c r="C110" s="4">
        <v>0.31726088407808245</v>
      </c>
      <c r="D110" s="4">
        <v>0.31445079947654681</v>
      </c>
      <c r="E110" s="3">
        <v>0.31585584177731463</v>
      </c>
    </row>
    <row r="111" spans="1:5" x14ac:dyDescent="0.25">
      <c r="A111" t="s">
        <v>395</v>
      </c>
      <c r="B111" t="s">
        <v>202</v>
      </c>
      <c r="C111" s="4">
        <v>0.35159446627883068</v>
      </c>
      <c r="D111" s="4">
        <v>0.28232104485288584</v>
      </c>
      <c r="E111" s="3">
        <v>0.31695775556585826</v>
      </c>
    </row>
    <row r="112" spans="1:5" x14ac:dyDescent="0.25">
      <c r="A112" t="s">
        <v>395</v>
      </c>
      <c r="B112" t="s">
        <v>170</v>
      </c>
      <c r="C112" s="4">
        <v>0.28049157094675442</v>
      </c>
      <c r="D112" s="4">
        <v>0.35343837757187457</v>
      </c>
      <c r="E112" s="3">
        <v>0.31696497425931447</v>
      </c>
    </row>
    <row r="113" spans="1:5" x14ac:dyDescent="0.25">
      <c r="A113" t="s">
        <v>395</v>
      </c>
      <c r="B113" t="s">
        <v>256</v>
      </c>
      <c r="C113" s="4">
        <v>0.31873107863878403</v>
      </c>
      <c r="D113" s="4">
        <v>0.31864862914353353</v>
      </c>
      <c r="E113" s="3">
        <v>0.31868985389115878</v>
      </c>
    </row>
    <row r="114" spans="1:5" x14ac:dyDescent="0.25">
      <c r="A114" t="s">
        <v>395</v>
      </c>
      <c r="B114" t="s">
        <v>199</v>
      </c>
      <c r="C114" s="4">
        <v>0.3524101803571334</v>
      </c>
      <c r="D114" s="4">
        <v>0.28563375286807086</v>
      </c>
      <c r="E114" s="3">
        <v>0.31902196661260213</v>
      </c>
    </row>
    <row r="115" spans="1:5" x14ac:dyDescent="0.25">
      <c r="A115" t="s">
        <v>395</v>
      </c>
      <c r="B115" t="s">
        <v>257</v>
      </c>
      <c r="C115" s="4">
        <v>0.30493803388239016</v>
      </c>
      <c r="D115" s="4">
        <v>0.33542702776456729</v>
      </c>
      <c r="E115" s="3">
        <v>0.32018253082347869</v>
      </c>
    </row>
    <row r="116" spans="1:5" x14ac:dyDescent="0.25">
      <c r="A116" t="s">
        <v>395</v>
      </c>
      <c r="B116" t="s">
        <v>119</v>
      </c>
      <c r="C116" s="4">
        <v>0.3510141321026512</v>
      </c>
      <c r="D116" s="4">
        <v>0.29087297932814565</v>
      </c>
      <c r="E116" s="3">
        <v>0.32094355571539845</v>
      </c>
    </row>
    <row r="117" spans="1:5" x14ac:dyDescent="0.25">
      <c r="A117" t="s">
        <v>395</v>
      </c>
      <c r="B117" t="s">
        <v>213</v>
      </c>
      <c r="C117" s="4">
        <v>0.30307718937273836</v>
      </c>
      <c r="D117" s="4">
        <v>0.33946861041029353</v>
      </c>
      <c r="E117" s="3">
        <v>0.32127289989151597</v>
      </c>
    </row>
    <row r="118" spans="1:5" x14ac:dyDescent="0.25">
      <c r="A118" t="s">
        <v>395</v>
      </c>
      <c r="B118" t="s">
        <v>204</v>
      </c>
      <c r="C118" s="4">
        <v>0.33654289991996583</v>
      </c>
      <c r="D118" s="4">
        <v>0.30765953452979833</v>
      </c>
      <c r="E118" s="3">
        <v>0.32210121722488205</v>
      </c>
    </row>
    <row r="119" spans="1:5" x14ac:dyDescent="0.25">
      <c r="A119" t="s">
        <v>395</v>
      </c>
      <c r="B119" t="s">
        <v>84</v>
      </c>
      <c r="C119" s="4">
        <v>0.28890582700616463</v>
      </c>
      <c r="D119" s="4">
        <v>0.35553334134687087</v>
      </c>
      <c r="E119" s="3">
        <v>0.32221958417651775</v>
      </c>
    </row>
    <row r="120" spans="1:5" x14ac:dyDescent="0.25">
      <c r="A120" t="s">
        <v>395</v>
      </c>
      <c r="B120" t="s">
        <v>72</v>
      </c>
      <c r="C120" s="4">
        <v>0.39961236165486491</v>
      </c>
      <c r="D120" s="4">
        <v>0.25413248405039607</v>
      </c>
      <c r="E120" s="3">
        <v>0.32687242285263052</v>
      </c>
    </row>
    <row r="121" spans="1:5" x14ac:dyDescent="0.25">
      <c r="A121" t="s">
        <v>395</v>
      </c>
      <c r="B121" t="s">
        <v>64</v>
      </c>
      <c r="C121" s="4">
        <v>0.357823644065621</v>
      </c>
      <c r="D121" s="4">
        <v>0.29621640046822623</v>
      </c>
      <c r="E121" s="3">
        <v>0.32702002226692362</v>
      </c>
    </row>
    <row r="122" spans="1:5" x14ac:dyDescent="0.25">
      <c r="A122" t="s">
        <v>395</v>
      </c>
      <c r="B122" t="s">
        <v>59</v>
      </c>
      <c r="C122" s="4">
        <v>0.34765602834617298</v>
      </c>
      <c r="D122" s="4">
        <v>0.30896990878684805</v>
      </c>
      <c r="E122" s="3">
        <v>0.32831296856651049</v>
      </c>
    </row>
    <row r="123" spans="1:5" x14ac:dyDescent="0.25">
      <c r="A123" t="s">
        <v>395</v>
      </c>
      <c r="B123" t="s">
        <v>219</v>
      </c>
      <c r="C123" s="4">
        <v>0.3138900264105855</v>
      </c>
      <c r="D123" s="4">
        <v>0.34372251476106025</v>
      </c>
      <c r="E123" s="3">
        <v>0.3288062705858229</v>
      </c>
    </row>
    <row r="124" spans="1:5" x14ac:dyDescent="0.25">
      <c r="A124" t="s">
        <v>395</v>
      </c>
      <c r="B124" t="s">
        <v>63</v>
      </c>
      <c r="C124" s="4">
        <v>0.36117194001820246</v>
      </c>
      <c r="D124" s="4">
        <v>0.3025624459816485</v>
      </c>
      <c r="E124" s="3">
        <v>0.33186719299992551</v>
      </c>
    </row>
    <row r="125" spans="1:5" x14ac:dyDescent="0.25">
      <c r="A125" t="s">
        <v>395</v>
      </c>
      <c r="B125" t="s">
        <v>91</v>
      </c>
      <c r="C125" s="4">
        <v>0.32783583384746506</v>
      </c>
      <c r="D125" s="4">
        <v>0.33674734173478582</v>
      </c>
      <c r="E125" s="3">
        <v>0.33229158779112544</v>
      </c>
    </row>
    <row r="126" spans="1:5" x14ac:dyDescent="0.25">
      <c r="A126" t="s">
        <v>395</v>
      </c>
      <c r="B126" t="s">
        <v>83</v>
      </c>
      <c r="C126" s="4">
        <v>0.33835825884758802</v>
      </c>
      <c r="D126" s="4">
        <v>0.33029022057865237</v>
      </c>
      <c r="E126" s="3">
        <v>0.3343242397131202</v>
      </c>
    </row>
    <row r="127" spans="1:5" x14ac:dyDescent="0.25">
      <c r="A127" t="s">
        <v>395</v>
      </c>
      <c r="B127" t="s">
        <v>224</v>
      </c>
      <c r="C127" s="4">
        <v>0.32329045931415057</v>
      </c>
      <c r="D127" s="4">
        <v>0.34644813943904013</v>
      </c>
      <c r="E127" s="3">
        <v>0.33486929937659538</v>
      </c>
    </row>
    <row r="128" spans="1:5" x14ac:dyDescent="0.25">
      <c r="A128" t="s">
        <v>395</v>
      </c>
      <c r="B128" t="s">
        <v>192</v>
      </c>
      <c r="C128" s="4">
        <v>0.36201084207553869</v>
      </c>
      <c r="D128" s="4">
        <v>0.30859686827058375</v>
      </c>
      <c r="E128" s="3">
        <v>0.33530385517306122</v>
      </c>
    </row>
    <row r="129" spans="1:5" x14ac:dyDescent="0.25">
      <c r="A129" t="s">
        <v>395</v>
      </c>
      <c r="B129" t="s">
        <v>143</v>
      </c>
      <c r="C129" s="4">
        <v>0.34845928937472154</v>
      </c>
      <c r="D129" s="4">
        <v>0.32217082180479861</v>
      </c>
      <c r="E129" s="3">
        <v>0.33531505558976005</v>
      </c>
    </row>
    <row r="130" spans="1:5" x14ac:dyDescent="0.25">
      <c r="A130" t="s">
        <v>395</v>
      </c>
      <c r="B130" t="s">
        <v>142</v>
      </c>
      <c r="C130" s="4">
        <v>0.38404908037905888</v>
      </c>
      <c r="D130" s="4">
        <v>0.28889554774087428</v>
      </c>
      <c r="E130" s="3">
        <v>0.33647231405996658</v>
      </c>
    </row>
    <row r="131" spans="1:5" x14ac:dyDescent="0.25">
      <c r="A131" t="s">
        <v>395</v>
      </c>
      <c r="B131" t="s">
        <v>101</v>
      </c>
      <c r="C131" s="4">
        <v>0.32722633345172764</v>
      </c>
      <c r="D131" s="4">
        <v>0.34938415707394427</v>
      </c>
      <c r="E131" s="3">
        <v>0.33830524526283595</v>
      </c>
    </row>
    <row r="132" spans="1:5" x14ac:dyDescent="0.25">
      <c r="A132" t="s">
        <v>395</v>
      </c>
      <c r="B132" t="s">
        <v>244</v>
      </c>
      <c r="C132" s="4">
        <v>0.31699648965074173</v>
      </c>
      <c r="D132" s="4">
        <v>0.36043869551036983</v>
      </c>
      <c r="E132" s="3">
        <v>0.33871759258055578</v>
      </c>
    </row>
    <row r="133" spans="1:5" x14ac:dyDescent="0.25">
      <c r="A133" t="s">
        <v>395</v>
      </c>
      <c r="B133" t="s">
        <v>173</v>
      </c>
      <c r="C133" s="4">
        <v>0.40942674304494842</v>
      </c>
      <c r="D133" s="4">
        <v>0.26836216357400533</v>
      </c>
      <c r="E133" s="3">
        <v>0.33889445330947687</v>
      </c>
    </row>
    <row r="134" spans="1:5" x14ac:dyDescent="0.25">
      <c r="A134" t="s">
        <v>395</v>
      </c>
      <c r="B134" t="s">
        <v>97</v>
      </c>
      <c r="C134" s="4">
        <v>0.3543527834007969</v>
      </c>
      <c r="D134" s="4">
        <v>0.32846575741628742</v>
      </c>
      <c r="E134" s="3">
        <v>0.34140927040854219</v>
      </c>
    </row>
    <row r="135" spans="1:5" x14ac:dyDescent="0.25">
      <c r="A135" t="s">
        <v>395</v>
      </c>
      <c r="B135" t="s">
        <v>43</v>
      </c>
      <c r="C135" s="4">
        <v>0.34465696016305186</v>
      </c>
      <c r="D135" s="4">
        <v>0.34305735007877203</v>
      </c>
      <c r="E135" s="3">
        <v>0.34385715512091197</v>
      </c>
    </row>
    <row r="136" spans="1:5" x14ac:dyDescent="0.25">
      <c r="A136" t="s">
        <v>395</v>
      </c>
      <c r="B136" t="s">
        <v>74</v>
      </c>
      <c r="C136" s="4">
        <v>0.33919445018966077</v>
      </c>
      <c r="D136" s="4">
        <v>0.35004246773857972</v>
      </c>
      <c r="E136" s="3">
        <v>0.34461845896412024</v>
      </c>
    </row>
    <row r="137" spans="1:5" x14ac:dyDescent="0.25">
      <c r="A137" t="s">
        <v>395</v>
      </c>
      <c r="B137" t="s">
        <v>99</v>
      </c>
      <c r="C137" s="4">
        <v>0.34900820527836895</v>
      </c>
      <c r="D137" s="4">
        <v>0.34102575956401388</v>
      </c>
      <c r="E137" s="3">
        <v>0.34501698242119139</v>
      </c>
    </row>
    <row r="138" spans="1:5" x14ac:dyDescent="0.25">
      <c r="A138" t="s">
        <v>395</v>
      </c>
      <c r="B138" t="s">
        <v>61</v>
      </c>
      <c r="C138" s="4">
        <v>0.34022714547930122</v>
      </c>
      <c r="D138" s="4">
        <v>0.35004246773857972</v>
      </c>
      <c r="E138" s="3">
        <v>0.34513480660894047</v>
      </c>
    </row>
    <row r="139" spans="1:5" x14ac:dyDescent="0.25">
      <c r="A139" t="s">
        <v>395</v>
      </c>
      <c r="B139" t="s">
        <v>86</v>
      </c>
      <c r="C139" s="4">
        <v>0.3263587599524358</v>
      </c>
      <c r="D139" s="4">
        <v>0.36404323249031895</v>
      </c>
      <c r="E139" s="3">
        <v>0.34520099622137734</v>
      </c>
    </row>
    <row r="140" spans="1:5" x14ac:dyDescent="0.25">
      <c r="A140" t="s">
        <v>395</v>
      </c>
      <c r="B140" t="s">
        <v>172</v>
      </c>
      <c r="C140" s="4">
        <v>0.31257994544744494</v>
      </c>
      <c r="D140" s="4">
        <v>0.38359965916688465</v>
      </c>
      <c r="E140" s="3">
        <v>0.3480898023071648</v>
      </c>
    </row>
    <row r="141" spans="1:5" x14ac:dyDescent="0.25">
      <c r="A141" t="s">
        <v>395</v>
      </c>
      <c r="B141" t="s">
        <v>139</v>
      </c>
      <c r="C141" s="4">
        <v>0.33187709134317028</v>
      </c>
      <c r="D141" s="4">
        <v>0.36471126963941825</v>
      </c>
      <c r="E141" s="3">
        <v>0.34829418049129424</v>
      </c>
    </row>
    <row r="142" spans="1:5" x14ac:dyDescent="0.25">
      <c r="A142" t="s">
        <v>395</v>
      </c>
      <c r="B142" t="s">
        <v>77</v>
      </c>
      <c r="C142" s="4">
        <v>0.3852352920405</v>
      </c>
      <c r="D142" s="4">
        <v>0.31585416348294537</v>
      </c>
      <c r="E142" s="3">
        <v>0.35054472776172269</v>
      </c>
    </row>
    <row r="143" spans="1:5" x14ac:dyDescent="0.25">
      <c r="A143" t="s">
        <v>395</v>
      </c>
      <c r="B143" t="s">
        <v>216</v>
      </c>
      <c r="C143" s="4">
        <v>0.3986527588661255</v>
      </c>
      <c r="D143" s="4">
        <v>0.30267123251776573</v>
      </c>
      <c r="E143" s="3">
        <v>0.35066199569194562</v>
      </c>
    </row>
    <row r="144" spans="1:5" x14ac:dyDescent="0.25">
      <c r="A144" t="s">
        <v>395</v>
      </c>
      <c r="B144" t="s">
        <v>246</v>
      </c>
      <c r="C144" s="4">
        <v>0.37339808468512159</v>
      </c>
      <c r="D144" s="4">
        <v>0.32940857941322615</v>
      </c>
      <c r="E144" s="3">
        <v>0.35140333204917384</v>
      </c>
    </row>
    <row r="145" spans="1:5" x14ac:dyDescent="0.25">
      <c r="A145" t="s">
        <v>395</v>
      </c>
      <c r="B145" t="s">
        <v>254</v>
      </c>
      <c r="C145" s="4">
        <v>0.35163317304063274</v>
      </c>
      <c r="D145" s="4">
        <v>0.35343837757187457</v>
      </c>
      <c r="E145" s="3">
        <v>0.35253577530625368</v>
      </c>
    </row>
    <row r="146" spans="1:5" x14ac:dyDescent="0.25">
      <c r="A146" t="s">
        <v>395</v>
      </c>
      <c r="B146" t="s">
        <v>137</v>
      </c>
      <c r="C146" s="4">
        <v>0.36652994269588551</v>
      </c>
      <c r="D146" s="4">
        <v>0.34226863651377687</v>
      </c>
      <c r="E146" s="3">
        <v>0.35439928960483119</v>
      </c>
    </row>
    <row r="147" spans="1:5" x14ac:dyDescent="0.25">
      <c r="A147" t="s">
        <v>395</v>
      </c>
      <c r="B147" t="s">
        <v>131</v>
      </c>
      <c r="C147" s="4">
        <v>0.36128956235125553</v>
      </c>
      <c r="D147" s="4">
        <v>0.34962201453145603</v>
      </c>
      <c r="E147" s="3">
        <v>0.35545578844135578</v>
      </c>
    </row>
    <row r="148" spans="1:5" x14ac:dyDescent="0.25">
      <c r="A148" t="s">
        <v>395</v>
      </c>
      <c r="B148" t="s">
        <v>226</v>
      </c>
      <c r="C148" s="4">
        <v>0.38599912873026188</v>
      </c>
      <c r="D148" s="4">
        <v>0.32870244966943046</v>
      </c>
      <c r="E148" s="3">
        <v>0.3573507891998462</v>
      </c>
    </row>
    <row r="149" spans="1:5" x14ac:dyDescent="0.25">
      <c r="A149" t="s">
        <v>395</v>
      </c>
      <c r="B149" t="s">
        <v>147</v>
      </c>
      <c r="C149" s="4">
        <v>0.38131632375546781</v>
      </c>
      <c r="D149" s="4">
        <v>0.33637148274079709</v>
      </c>
      <c r="E149" s="3">
        <v>0.35884390324813242</v>
      </c>
    </row>
    <row r="150" spans="1:5" x14ac:dyDescent="0.25">
      <c r="A150" t="s">
        <v>395</v>
      </c>
      <c r="B150" t="s">
        <v>212</v>
      </c>
      <c r="C150" s="4">
        <v>0.36944236511455025</v>
      </c>
      <c r="D150" s="4">
        <v>0.35066812003339698</v>
      </c>
      <c r="E150" s="3">
        <v>0.36005524257397359</v>
      </c>
    </row>
    <row r="151" spans="1:5" x14ac:dyDescent="0.25">
      <c r="A151" t="s">
        <v>395</v>
      </c>
      <c r="B151" t="s">
        <v>70</v>
      </c>
      <c r="C151" s="4">
        <v>0.32422984440621816</v>
      </c>
      <c r="D151" s="4">
        <v>0.39853192424676637</v>
      </c>
      <c r="E151" s="3">
        <v>0.36138088432649229</v>
      </c>
    </row>
    <row r="152" spans="1:5" x14ac:dyDescent="0.25">
      <c r="A152" t="s">
        <v>395</v>
      </c>
      <c r="B152" t="s">
        <v>71</v>
      </c>
      <c r="C152" s="4">
        <v>0.36644406445157507</v>
      </c>
      <c r="D152" s="4">
        <v>0.35637870633077351</v>
      </c>
      <c r="E152" s="3">
        <v>0.36141138539117429</v>
      </c>
    </row>
    <row r="153" spans="1:5" x14ac:dyDescent="0.25">
      <c r="A153" t="s">
        <v>395</v>
      </c>
      <c r="B153" t="s">
        <v>110</v>
      </c>
      <c r="C153" s="4">
        <v>0.39913479138731217</v>
      </c>
      <c r="D153" s="4">
        <v>0.32389230432590566</v>
      </c>
      <c r="E153" s="3">
        <v>0.36151354785660894</v>
      </c>
    </row>
    <row r="154" spans="1:5" x14ac:dyDescent="0.25">
      <c r="A154" t="s">
        <v>395</v>
      </c>
      <c r="B154" t="s">
        <v>123</v>
      </c>
      <c r="C154" s="4">
        <v>0.28716520871335427</v>
      </c>
      <c r="D154" s="4">
        <v>0.44226123061023132</v>
      </c>
      <c r="E154" s="3">
        <v>0.36471321966179282</v>
      </c>
    </row>
    <row r="155" spans="1:5" x14ac:dyDescent="0.25">
      <c r="A155" t="s">
        <v>395</v>
      </c>
      <c r="B155" t="s">
        <v>197</v>
      </c>
      <c r="C155" s="4">
        <v>0.35463129946906102</v>
      </c>
      <c r="D155" s="4">
        <v>0.37837133838389853</v>
      </c>
      <c r="E155" s="3">
        <v>0.36650131892647975</v>
      </c>
    </row>
    <row r="156" spans="1:5" x14ac:dyDescent="0.25">
      <c r="A156" t="s">
        <v>395</v>
      </c>
      <c r="B156" t="s">
        <v>90</v>
      </c>
      <c r="C156" s="4">
        <v>0.37525006897184604</v>
      </c>
      <c r="D156" s="4">
        <v>0.35877344742897249</v>
      </c>
      <c r="E156" s="3">
        <v>0.36701175820040927</v>
      </c>
    </row>
    <row r="157" spans="1:5" x14ac:dyDescent="0.25">
      <c r="A157" t="s">
        <v>395</v>
      </c>
      <c r="B157" t="s">
        <v>258</v>
      </c>
      <c r="C157" s="4">
        <v>0.40609024141096983</v>
      </c>
      <c r="D157" s="4">
        <v>0.32870244966943046</v>
      </c>
      <c r="E157" s="3">
        <v>0.36739634554020018</v>
      </c>
    </row>
    <row r="158" spans="1:5" x14ac:dyDescent="0.25">
      <c r="A158" t="s">
        <v>395</v>
      </c>
      <c r="B158" t="s">
        <v>237</v>
      </c>
      <c r="C158" s="4">
        <v>0.33710067977116731</v>
      </c>
      <c r="D158" s="4">
        <v>0.39986747657005994</v>
      </c>
      <c r="E158" s="3">
        <v>0.36848407817061363</v>
      </c>
    </row>
    <row r="159" spans="1:5" x14ac:dyDescent="0.25">
      <c r="A159" t="s">
        <v>395</v>
      </c>
      <c r="B159" t="s">
        <v>124</v>
      </c>
      <c r="C159" s="4">
        <v>0.38182097687233707</v>
      </c>
      <c r="D159" s="4">
        <v>0.35624689897641099</v>
      </c>
      <c r="E159" s="3">
        <v>0.369033937924374</v>
      </c>
    </row>
    <row r="160" spans="1:5" x14ac:dyDescent="0.25">
      <c r="A160" t="s">
        <v>395</v>
      </c>
      <c r="B160" t="s">
        <v>201</v>
      </c>
      <c r="C160" s="4">
        <v>0.42299269203623424</v>
      </c>
      <c r="D160" s="4">
        <v>0.31552053951825543</v>
      </c>
      <c r="E160" s="3">
        <v>0.36925661577724483</v>
      </c>
    </row>
    <row r="161" spans="1:5" x14ac:dyDescent="0.25">
      <c r="A161" t="s">
        <v>395</v>
      </c>
      <c r="B161" t="s">
        <v>263</v>
      </c>
      <c r="C161" s="4">
        <v>0.41032716188394236</v>
      </c>
      <c r="D161" s="4">
        <v>0.32833478663920834</v>
      </c>
      <c r="E161" s="3">
        <v>0.36933097426157535</v>
      </c>
    </row>
    <row r="162" spans="1:5" x14ac:dyDescent="0.25">
      <c r="A162" t="s">
        <v>395</v>
      </c>
      <c r="B162" t="s">
        <v>181</v>
      </c>
      <c r="C162" s="4">
        <v>0.38187847082667964</v>
      </c>
      <c r="D162" s="4">
        <v>0.35703796776191243</v>
      </c>
      <c r="E162" s="3">
        <v>0.36945821929429601</v>
      </c>
    </row>
    <row r="163" spans="1:5" x14ac:dyDescent="0.25">
      <c r="A163" t="s">
        <v>395</v>
      </c>
      <c r="B163" t="s">
        <v>112</v>
      </c>
      <c r="C163" s="4">
        <v>0.36978076460724985</v>
      </c>
      <c r="D163" s="4">
        <v>0.36954906853483971</v>
      </c>
      <c r="E163" s="3">
        <v>0.36966491657104478</v>
      </c>
    </row>
    <row r="164" spans="1:5" x14ac:dyDescent="0.25">
      <c r="A164" t="s">
        <v>395</v>
      </c>
      <c r="B164" t="s">
        <v>129</v>
      </c>
      <c r="C164" s="4">
        <v>0.3570317512820676</v>
      </c>
      <c r="D164" s="4">
        <v>0.38431676164282658</v>
      </c>
      <c r="E164" s="3">
        <v>0.37067425646244712</v>
      </c>
    </row>
    <row r="165" spans="1:5" x14ac:dyDescent="0.25">
      <c r="A165" t="s">
        <v>395</v>
      </c>
      <c r="B165" t="s">
        <v>221</v>
      </c>
      <c r="C165" s="4">
        <v>0.36783316833614016</v>
      </c>
      <c r="D165" s="4">
        <v>0.37982271437108833</v>
      </c>
      <c r="E165" s="3">
        <v>0.37382794135361425</v>
      </c>
    </row>
    <row r="166" spans="1:5" x14ac:dyDescent="0.25">
      <c r="A166" t="s">
        <v>395</v>
      </c>
      <c r="B166" t="s">
        <v>125</v>
      </c>
      <c r="C166" s="4">
        <v>0.41147351100200158</v>
      </c>
      <c r="D166" s="4">
        <v>0.33637148274079709</v>
      </c>
      <c r="E166" s="3">
        <v>0.37392249687139933</v>
      </c>
    </row>
    <row r="167" spans="1:5" x14ac:dyDescent="0.25">
      <c r="A167" t="s">
        <v>395</v>
      </c>
      <c r="B167" t="s">
        <v>242</v>
      </c>
      <c r="C167" s="4">
        <v>0.40446436735113561</v>
      </c>
      <c r="D167" s="4">
        <v>0.34434064838354772</v>
      </c>
      <c r="E167" s="3">
        <v>0.37440250786734164</v>
      </c>
    </row>
    <row r="168" spans="1:5" x14ac:dyDescent="0.25">
      <c r="A168" t="s">
        <v>395</v>
      </c>
      <c r="B168" t="s">
        <v>165</v>
      </c>
      <c r="C168" s="4">
        <v>0.39963204415214254</v>
      </c>
      <c r="D168" s="4">
        <v>0.34962201453145603</v>
      </c>
      <c r="E168" s="3">
        <v>0.37462702934179926</v>
      </c>
    </row>
    <row r="169" spans="1:5" x14ac:dyDescent="0.25">
      <c r="A169" t="s">
        <v>395</v>
      </c>
      <c r="B169" t="s">
        <v>168</v>
      </c>
      <c r="C169" s="4">
        <v>0.38742315999837473</v>
      </c>
      <c r="D169" s="4">
        <v>0.36200276138894494</v>
      </c>
      <c r="E169" s="3">
        <v>0.37471296069365984</v>
      </c>
    </row>
    <row r="170" spans="1:5" x14ac:dyDescent="0.25">
      <c r="A170" t="s">
        <v>395</v>
      </c>
      <c r="B170" t="s">
        <v>57</v>
      </c>
      <c r="C170" s="4">
        <v>0.41604707157932735</v>
      </c>
      <c r="D170" s="4">
        <v>0.33566413121006511</v>
      </c>
      <c r="E170" s="3">
        <v>0.3758556013946962</v>
      </c>
    </row>
    <row r="171" spans="1:5" x14ac:dyDescent="0.25">
      <c r="A171" t="s">
        <v>395</v>
      </c>
      <c r="B171" t="s">
        <v>150</v>
      </c>
      <c r="C171" s="4">
        <v>0.43109093854358221</v>
      </c>
      <c r="D171" s="4">
        <v>0.32344751618326228</v>
      </c>
      <c r="E171" s="3">
        <v>0.37726922736342228</v>
      </c>
    </row>
    <row r="172" spans="1:5" x14ac:dyDescent="0.25">
      <c r="A172" t="s">
        <v>395</v>
      </c>
      <c r="B172" t="s">
        <v>87</v>
      </c>
      <c r="C172" s="4">
        <v>0.32077034602987059</v>
      </c>
      <c r="D172" s="4">
        <v>0.43518407685082394</v>
      </c>
      <c r="E172" s="3">
        <v>0.37797721144034724</v>
      </c>
    </row>
    <row r="173" spans="1:5" x14ac:dyDescent="0.25">
      <c r="A173" t="s">
        <v>395</v>
      </c>
      <c r="B173" t="s">
        <v>230</v>
      </c>
      <c r="C173" s="4">
        <v>0.41329833411834715</v>
      </c>
      <c r="D173" s="4">
        <v>0.3513277220364423</v>
      </c>
      <c r="E173" s="3">
        <v>0.38231302807739476</v>
      </c>
    </row>
    <row r="174" spans="1:5" x14ac:dyDescent="0.25">
      <c r="A174" t="s">
        <v>395</v>
      </c>
      <c r="B174" t="s">
        <v>44</v>
      </c>
      <c r="C174" s="4">
        <v>0.38723486733126733</v>
      </c>
      <c r="D174" s="4">
        <v>0.37870961268803599</v>
      </c>
      <c r="E174" s="3">
        <v>0.38297224000965169</v>
      </c>
    </row>
    <row r="175" spans="1:5" x14ac:dyDescent="0.25">
      <c r="A175" t="s">
        <v>395</v>
      </c>
      <c r="B175" t="s">
        <v>240</v>
      </c>
      <c r="C175" s="4">
        <v>0.35038834931832319</v>
      </c>
      <c r="D175" s="4">
        <v>0.41673498297748263</v>
      </c>
      <c r="E175" s="3">
        <v>0.38356166614790288</v>
      </c>
    </row>
    <row r="176" spans="1:5" x14ac:dyDescent="0.25">
      <c r="A176" t="s">
        <v>395</v>
      </c>
      <c r="B176" t="s">
        <v>141</v>
      </c>
      <c r="C176" s="4">
        <v>0.3866835120183057</v>
      </c>
      <c r="D176" s="4">
        <v>0.38306393065381594</v>
      </c>
      <c r="E176" s="3">
        <v>0.38487372133606079</v>
      </c>
    </row>
    <row r="177" spans="1:5" x14ac:dyDescent="0.25">
      <c r="A177" t="s">
        <v>395</v>
      </c>
      <c r="B177" t="s">
        <v>75</v>
      </c>
      <c r="C177" s="4">
        <v>0.37575337325002101</v>
      </c>
      <c r="D177" s="4">
        <v>0.39948729905095559</v>
      </c>
      <c r="E177" s="3">
        <v>0.3876203361504883</v>
      </c>
    </row>
    <row r="178" spans="1:5" x14ac:dyDescent="0.25">
      <c r="A178" t="s">
        <v>395</v>
      </c>
      <c r="B178" t="s">
        <v>193</v>
      </c>
      <c r="C178" s="4">
        <v>0.37089698338028693</v>
      </c>
      <c r="D178" s="4">
        <v>0.40624767556103575</v>
      </c>
      <c r="E178" s="3">
        <v>0.38857232947066134</v>
      </c>
    </row>
    <row r="179" spans="1:5" x14ac:dyDescent="0.25">
      <c r="A179" t="s">
        <v>395</v>
      </c>
      <c r="B179" t="s">
        <v>136</v>
      </c>
      <c r="C179" s="4">
        <v>0.37167320108140189</v>
      </c>
      <c r="D179" s="4">
        <v>0.40558326483736712</v>
      </c>
      <c r="E179" s="3">
        <v>0.38862823295938453</v>
      </c>
    </row>
    <row r="180" spans="1:5" x14ac:dyDescent="0.25">
      <c r="A180" t="s">
        <v>395</v>
      </c>
      <c r="B180" t="s">
        <v>171</v>
      </c>
      <c r="C180" s="4">
        <v>0.41578756101837661</v>
      </c>
      <c r="D180" s="4">
        <v>0.36362160229940621</v>
      </c>
      <c r="E180" s="3">
        <v>0.38970458165889144</v>
      </c>
    </row>
    <row r="181" spans="1:5" x14ac:dyDescent="0.25">
      <c r="A181" t="s">
        <v>395</v>
      </c>
      <c r="B181" t="s">
        <v>55</v>
      </c>
      <c r="C181" s="4">
        <v>0.38375241318840203</v>
      </c>
      <c r="D181" s="4">
        <v>0.39853192424676637</v>
      </c>
      <c r="E181" s="3">
        <v>0.39114216871758423</v>
      </c>
    </row>
    <row r="182" spans="1:5" x14ac:dyDescent="0.25">
      <c r="A182" t="s">
        <v>395</v>
      </c>
      <c r="B182" t="s">
        <v>157</v>
      </c>
      <c r="C182" s="4">
        <v>0.45195245583599408</v>
      </c>
      <c r="D182" s="4">
        <v>0.33039987253527359</v>
      </c>
      <c r="E182" s="3">
        <v>0.39117616418563383</v>
      </c>
    </row>
    <row r="183" spans="1:5" x14ac:dyDescent="0.25">
      <c r="A183" t="s">
        <v>395</v>
      </c>
      <c r="B183" t="s">
        <v>210</v>
      </c>
      <c r="C183" s="4">
        <v>0.40286779253925631</v>
      </c>
      <c r="D183" s="4">
        <v>0.37982271437108833</v>
      </c>
      <c r="E183" s="3">
        <v>0.39134525345517235</v>
      </c>
    </row>
    <row r="184" spans="1:5" x14ac:dyDescent="0.25">
      <c r="A184" t="s">
        <v>395</v>
      </c>
      <c r="B184" t="s">
        <v>249</v>
      </c>
      <c r="C184" s="4">
        <v>0.38832823014967693</v>
      </c>
      <c r="D184" s="4">
        <v>0.39877177865281715</v>
      </c>
      <c r="E184" s="3">
        <v>0.39355000440124704</v>
      </c>
    </row>
    <row r="185" spans="1:5" x14ac:dyDescent="0.25">
      <c r="A185" t="s">
        <v>395</v>
      </c>
      <c r="B185" t="s">
        <v>205</v>
      </c>
      <c r="C185" s="4">
        <v>0.39250567327660874</v>
      </c>
      <c r="D185" s="4">
        <v>0.39839920085628844</v>
      </c>
      <c r="E185" s="3">
        <v>0.39545243706644861</v>
      </c>
    </row>
    <row r="186" spans="1:5" x14ac:dyDescent="0.25">
      <c r="A186" t="s">
        <v>395</v>
      </c>
      <c r="B186" t="s">
        <v>149</v>
      </c>
      <c r="C186" s="4">
        <v>0.45431559613686684</v>
      </c>
      <c r="D186" s="4">
        <v>0.33736447839531669</v>
      </c>
      <c r="E186" s="3">
        <v>0.39584003726609174</v>
      </c>
    </row>
    <row r="187" spans="1:5" x14ac:dyDescent="0.25">
      <c r="A187" t="s">
        <v>395</v>
      </c>
      <c r="B187" t="s">
        <v>174</v>
      </c>
      <c r="C187" s="4">
        <v>0.39969571205603766</v>
      </c>
      <c r="D187" s="4">
        <v>0.39215026389504837</v>
      </c>
      <c r="E187" s="3">
        <v>0.39592298797554304</v>
      </c>
    </row>
    <row r="188" spans="1:5" x14ac:dyDescent="0.25">
      <c r="A188" t="s">
        <v>395</v>
      </c>
      <c r="B188" t="s">
        <v>208</v>
      </c>
      <c r="C188" s="4">
        <v>0.38765072772460468</v>
      </c>
      <c r="D188" s="4">
        <v>0.40545042386121588</v>
      </c>
      <c r="E188" s="3">
        <v>0.39655057579291031</v>
      </c>
    </row>
    <row r="189" spans="1:5" x14ac:dyDescent="0.25">
      <c r="A189" t="s">
        <v>395</v>
      </c>
      <c r="B189" t="s">
        <v>121</v>
      </c>
      <c r="C189" s="4">
        <v>0.41609860690780404</v>
      </c>
      <c r="D189" s="4">
        <v>0.37728659314671503</v>
      </c>
      <c r="E189" s="3">
        <v>0.39669260002725953</v>
      </c>
    </row>
    <row r="190" spans="1:5" x14ac:dyDescent="0.25">
      <c r="A190" t="s">
        <v>395</v>
      </c>
      <c r="B190" t="s">
        <v>223</v>
      </c>
      <c r="C190" s="4">
        <v>0.42420163257263765</v>
      </c>
      <c r="D190" s="4">
        <v>0.37168585161501916</v>
      </c>
      <c r="E190" s="3">
        <v>0.39794374209382843</v>
      </c>
    </row>
    <row r="191" spans="1:5" x14ac:dyDescent="0.25">
      <c r="A191" t="s">
        <v>395</v>
      </c>
      <c r="B191" t="s">
        <v>107</v>
      </c>
      <c r="C191" s="4">
        <v>0.42449819004851946</v>
      </c>
      <c r="D191" s="4">
        <v>0.37870961268803599</v>
      </c>
      <c r="E191" s="3">
        <v>0.40160390136827773</v>
      </c>
    </row>
    <row r="192" spans="1:5" x14ac:dyDescent="0.25">
      <c r="A192" t="s">
        <v>395</v>
      </c>
      <c r="B192" t="s">
        <v>238</v>
      </c>
      <c r="C192" s="4">
        <v>0.29364813247086735</v>
      </c>
      <c r="D192" s="4">
        <v>0.51315460150404146</v>
      </c>
      <c r="E192" s="3">
        <v>0.40340136698745443</v>
      </c>
    </row>
    <row r="193" spans="1:5" x14ac:dyDescent="0.25">
      <c r="A193" t="s">
        <v>395</v>
      </c>
      <c r="B193" t="s">
        <v>253</v>
      </c>
      <c r="C193" s="4">
        <v>0.36205993082048482</v>
      </c>
      <c r="D193" s="4">
        <v>0.4471447353167185</v>
      </c>
      <c r="E193" s="3">
        <v>0.40460233306860166</v>
      </c>
    </row>
    <row r="194" spans="1:5" x14ac:dyDescent="0.25">
      <c r="A194" t="s">
        <v>395</v>
      </c>
      <c r="B194" t="s">
        <v>67</v>
      </c>
      <c r="C194" s="4">
        <v>0.35739012811932813</v>
      </c>
      <c r="D194" s="4">
        <v>0.45210657680548649</v>
      </c>
      <c r="E194" s="3">
        <v>0.40474835246240731</v>
      </c>
    </row>
    <row r="195" spans="1:5" x14ac:dyDescent="0.25">
      <c r="A195" t="s">
        <v>395</v>
      </c>
      <c r="B195" t="s">
        <v>251</v>
      </c>
      <c r="C195" s="4">
        <v>0.37450762124678993</v>
      </c>
      <c r="D195" s="4">
        <v>0.43569905160277156</v>
      </c>
      <c r="E195" s="3">
        <v>0.40510333642478075</v>
      </c>
    </row>
    <row r="196" spans="1:5" x14ac:dyDescent="0.25">
      <c r="A196" t="s">
        <v>395</v>
      </c>
      <c r="B196" t="s">
        <v>203</v>
      </c>
      <c r="C196" s="4">
        <v>0.40537344621934573</v>
      </c>
      <c r="D196" s="4">
        <v>0.40545042386121588</v>
      </c>
      <c r="E196" s="3">
        <v>0.40541193504028084</v>
      </c>
    </row>
    <row r="197" spans="1:5" x14ac:dyDescent="0.25">
      <c r="A197" t="s">
        <v>395</v>
      </c>
      <c r="B197" t="s">
        <v>227</v>
      </c>
      <c r="C197" s="4">
        <v>0.34752168022940211</v>
      </c>
      <c r="D197" s="4">
        <v>0.47060071126422315</v>
      </c>
      <c r="E197" s="3">
        <v>0.40906119574681266</v>
      </c>
    </row>
    <row r="198" spans="1:5" x14ac:dyDescent="0.25">
      <c r="A198" t="s">
        <v>395</v>
      </c>
      <c r="B198" t="s">
        <v>194</v>
      </c>
      <c r="C198" s="4">
        <v>0.42965002341891584</v>
      </c>
      <c r="D198" s="4">
        <v>0.39278052801043928</v>
      </c>
      <c r="E198" s="3">
        <v>0.41121527571467753</v>
      </c>
    </row>
    <row r="199" spans="1:5" x14ac:dyDescent="0.25">
      <c r="A199" t="s">
        <v>395</v>
      </c>
      <c r="B199" t="s">
        <v>128</v>
      </c>
      <c r="C199" s="4">
        <v>0.39865518214434442</v>
      </c>
      <c r="D199" s="4">
        <v>0.43384358626300595</v>
      </c>
      <c r="E199" s="3">
        <v>0.41624938420367519</v>
      </c>
    </row>
    <row r="200" spans="1:5" x14ac:dyDescent="0.25">
      <c r="A200" t="s">
        <v>395</v>
      </c>
      <c r="B200" t="s">
        <v>191</v>
      </c>
      <c r="C200" s="4">
        <v>0.40881362885297956</v>
      </c>
      <c r="D200" s="4">
        <v>0.42772956313527211</v>
      </c>
      <c r="E200" s="3">
        <v>0.41827159599412583</v>
      </c>
    </row>
    <row r="201" spans="1:5" x14ac:dyDescent="0.25">
      <c r="A201" t="s">
        <v>395</v>
      </c>
      <c r="B201" t="s">
        <v>51</v>
      </c>
      <c r="C201" s="4">
        <v>0.42410540393369567</v>
      </c>
      <c r="D201" s="4">
        <v>0.41359757611834241</v>
      </c>
      <c r="E201" s="3">
        <v>0.41885149002601907</v>
      </c>
    </row>
    <row r="202" spans="1:5" x14ac:dyDescent="0.25">
      <c r="A202" t="s">
        <v>395</v>
      </c>
      <c r="B202" t="s">
        <v>60</v>
      </c>
      <c r="C202" s="4">
        <v>0.38192834566788492</v>
      </c>
      <c r="D202" s="4">
        <v>0.45642568549114904</v>
      </c>
      <c r="E202" s="3">
        <v>0.41917701557951698</v>
      </c>
    </row>
    <row r="203" spans="1:5" x14ac:dyDescent="0.25">
      <c r="A203" t="s">
        <v>395</v>
      </c>
      <c r="B203" t="s">
        <v>138</v>
      </c>
      <c r="C203" s="4">
        <v>0.39631381087010359</v>
      </c>
      <c r="D203" s="4">
        <v>0.44277647776532886</v>
      </c>
      <c r="E203" s="3">
        <v>0.41954514431771622</v>
      </c>
    </row>
    <row r="204" spans="1:5" x14ac:dyDescent="0.25">
      <c r="A204" t="s">
        <v>395</v>
      </c>
      <c r="B204" t="s">
        <v>146</v>
      </c>
      <c r="C204" s="4">
        <v>0.412816805098561</v>
      </c>
      <c r="D204" s="4">
        <v>0.42772956313527211</v>
      </c>
      <c r="E204" s="3">
        <v>0.42027318411691655</v>
      </c>
    </row>
    <row r="205" spans="1:5" x14ac:dyDescent="0.25">
      <c r="A205" t="s">
        <v>395</v>
      </c>
      <c r="B205" t="s">
        <v>115</v>
      </c>
      <c r="C205" s="4">
        <v>0.42312562809658888</v>
      </c>
      <c r="D205" s="4">
        <v>0.42155652016975287</v>
      </c>
      <c r="E205" s="3">
        <v>0.4223410741331709</v>
      </c>
    </row>
    <row r="206" spans="1:5" x14ac:dyDescent="0.25">
      <c r="A206" t="s">
        <v>395</v>
      </c>
      <c r="B206" t="s">
        <v>180</v>
      </c>
      <c r="C206" s="4">
        <v>0.44844328038705683</v>
      </c>
      <c r="D206" s="4">
        <v>0.39839920085628844</v>
      </c>
      <c r="E206" s="3">
        <v>0.42342124062167263</v>
      </c>
    </row>
    <row r="207" spans="1:5" x14ac:dyDescent="0.25">
      <c r="A207" t="s">
        <v>395</v>
      </c>
      <c r="B207" t="s">
        <v>96</v>
      </c>
      <c r="C207" s="4">
        <v>0.43105828099932575</v>
      </c>
      <c r="D207" s="4">
        <v>0.41957035474905841</v>
      </c>
      <c r="E207" s="3">
        <v>0.42531431787419205</v>
      </c>
    </row>
    <row r="208" spans="1:5" x14ac:dyDescent="0.25">
      <c r="A208" t="s">
        <v>395</v>
      </c>
      <c r="B208" t="s">
        <v>135</v>
      </c>
      <c r="C208" s="4">
        <v>0.45943196800889002</v>
      </c>
      <c r="D208" s="4">
        <v>0.39344496158852216</v>
      </c>
      <c r="E208" s="3">
        <v>0.42643846479870606</v>
      </c>
    </row>
    <row r="209" spans="1:5" x14ac:dyDescent="0.25">
      <c r="A209" t="s">
        <v>395</v>
      </c>
      <c r="B209" t="s">
        <v>247</v>
      </c>
      <c r="C209" s="4">
        <v>0.43277540984768514</v>
      </c>
      <c r="D209" s="4">
        <v>0.42155652016975287</v>
      </c>
      <c r="E209" s="3">
        <v>0.42716596500871901</v>
      </c>
    </row>
    <row r="210" spans="1:5" x14ac:dyDescent="0.25">
      <c r="A210" t="s">
        <v>395</v>
      </c>
      <c r="B210" t="s">
        <v>94</v>
      </c>
      <c r="C210" s="4">
        <v>0.43883117180363879</v>
      </c>
      <c r="D210" s="4">
        <v>0.42100122703602583</v>
      </c>
      <c r="E210" s="3">
        <v>0.42991619941983228</v>
      </c>
    </row>
    <row r="211" spans="1:5" x14ac:dyDescent="0.25">
      <c r="A211" t="s">
        <v>395</v>
      </c>
      <c r="B211" t="s">
        <v>232</v>
      </c>
      <c r="C211" s="4">
        <v>0.39984181847493727</v>
      </c>
      <c r="D211" s="4">
        <v>0.46077340534385902</v>
      </c>
      <c r="E211" s="3">
        <v>0.43030761190939815</v>
      </c>
    </row>
    <row r="212" spans="1:5" x14ac:dyDescent="0.25">
      <c r="A212" t="s">
        <v>395</v>
      </c>
      <c r="B212" t="s">
        <v>218</v>
      </c>
      <c r="C212" s="4">
        <v>0.4128712211505699</v>
      </c>
      <c r="D212" s="4">
        <v>0.45694137909215576</v>
      </c>
      <c r="E212" s="3">
        <v>0.43490630012136283</v>
      </c>
    </row>
    <row r="213" spans="1:5" x14ac:dyDescent="0.25">
      <c r="A213" t="s">
        <v>395</v>
      </c>
      <c r="B213" t="s">
        <v>73</v>
      </c>
      <c r="C213" s="4">
        <v>0.3676113968861664</v>
      </c>
      <c r="D213" s="4">
        <v>0.51315460150404146</v>
      </c>
      <c r="E213" s="3">
        <v>0.44038299919510393</v>
      </c>
    </row>
    <row r="214" spans="1:5" x14ac:dyDescent="0.25">
      <c r="A214" t="s">
        <v>395</v>
      </c>
      <c r="B214" t="s">
        <v>231</v>
      </c>
      <c r="C214" s="4">
        <v>0.41847521078327682</v>
      </c>
      <c r="D214" s="4">
        <v>0.4634710096862017</v>
      </c>
      <c r="E214" s="3">
        <v>0.44097311023473929</v>
      </c>
    </row>
    <row r="215" spans="1:5" x14ac:dyDescent="0.25">
      <c r="A215" t="s">
        <v>395</v>
      </c>
      <c r="B215" t="s">
        <v>88</v>
      </c>
      <c r="C215" s="4">
        <v>0.38614015467776336</v>
      </c>
      <c r="D215" s="4">
        <v>0.50981520475827702</v>
      </c>
      <c r="E215" s="3">
        <v>0.44797767971802016</v>
      </c>
    </row>
    <row r="216" spans="1:5" x14ac:dyDescent="0.25">
      <c r="A216" t="s">
        <v>395</v>
      </c>
      <c r="B216" t="s">
        <v>151</v>
      </c>
      <c r="C216" s="4">
        <v>0.41261094280778304</v>
      </c>
      <c r="D216" s="4">
        <v>0.48440032669543787</v>
      </c>
      <c r="E216" s="3">
        <v>0.44850563475161043</v>
      </c>
    </row>
    <row r="217" spans="1:5" x14ac:dyDescent="0.25">
      <c r="A217" t="s">
        <v>395</v>
      </c>
      <c r="B217" t="s">
        <v>95</v>
      </c>
      <c r="C217" s="4">
        <v>0.47781371722831462</v>
      </c>
      <c r="D217" s="4">
        <v>0.42100122703602583</v>
      </c>
      <c r="E217" s="3">
        <v>0.44940747213217025</v>
      </c>
    </row>
    <row r="218" spans="1:5" x14ac:dyDescent="0.25">
      <c r="A218" t="s">
        <v>395</v>
      </c>
      <c r="B218" t="s">
        <v>49</v>
      </c>
      <c r="C218" s="4">
        <v>0.39889076413400909</v>
      </c>
      <c r="D218" s="4">
        <v>0.50272215617678784</v>
      </c>
      <c r="E218" s="3">
        <v>0.45080646015539849</v>
      </c>
    </row>
    <row r="219" spans="1:5" x14ac:dyDescent="0.25">
      <c r="A219" t="s">
        <v>395</v>
      </c>
      <c r="B219" t="s">
        <v>164</v>
      </c>
      <c r="C219" s="4">
        <v>0.42514241877816644</v>
      </c>
      <c r="D219" s="4">
        <v>0.48440032669543787</v>
      </c>
      <c r="E219" s="3">
        <v>0.45477137273680213</v>
      </c>
    </row>
    <row r="220" spans="1:5" x14ac:dyDescent="0.25">
      <c r="A220" t="s">
        <v>395</v>
      </c>
      <c r="B220" t="s">
        <v>178</v>
      </c>
      <c r="C220" s="4">
        <v>0.44834317915902905</v>
      </c>
      <c r="D220" s="4">
        <v>0.46312985354966069</v>
      </c>
      <c r="E220" s="3">
        <v>0.45573651635434487</v>
      </c>
    </row>
    <row r="221" spans="1:5" x14ac:dyDescent="0.25">
      <c r="A221" t="s">
        <v>395</v>
      </c>
      <c r="B221" t="s">
        <v>148</v>
      </c>
      <c r="C221" s="4">
        <v>0.50283986757160792</v>
      </c>
      <c r="D221" s="4">
        <v>0.46017534612333472</v>
      </c>
      <c r="E221" s="3">
        <v>0.48150760684747129</v>
      </c>
    </row>
    <row r="222" spans="1:5" x14ac:dyDescent="0.25">
      <c r="A222" t="s">
        <v>395</v>
      </c>
      <c r="B222" t="s">
        <v>152</v>
      </c>
      <c r="C222" s="4">
        <v>0.49104554197711126</v>
      </c>
      <c r="D222" s="4">
        <v>0.49053155241776292</v>
      </c>
      <c r="E222" s="3">
        <v>0.49078854719743709</v>
      </c>
    </row>
    <row r="223" spans="1:5" x14ac:dyDescent="0.25">
      <c r="A223" t="s">
        <v>395</v>
      </c>
      <c r="B223" t="s">
        <v>225</v>
      </c>
      <c r="C223" s="4">
        <v>0.48360470660008203</v>
      </c>
      <c r="D223" s="4">
        <v>0.53108911375531376</v>
      </c>
      <c r="E223" s="3">
        <v>0.50734691017769795</v>
      </c>
    </row>
    <row r="224" spans="1:5" x14ac:dyDescent="0.25">
      <c r="A224" t="s">
        <v>395</v>
      </c>
      <c r="B224" t="s">
        <v>153</v>
      </c>
      <c r="C224" s="4">
        <v>0.47563974216319699</v>
      </c>
      <c r="D224" s="4">
        <v>0.59476160679788015</v>
      </c>
      <c r="E224" s="3">
        <v>0.53520067448053854</v>
      </c>
    </row>
    <row r="225" spans="1:5" x14ac:dyDescent="0.25">
      <c r="A225" t="s">
        <v>396</v>
      </c>
      <c r="B225" t="s">
        <v>272</v>
      </c>
      <c r="C225" s="4">
        <v>0.14862897435556807</v>
      </c>
      <c r="D225" s="4">
        <v>9.4273232195398779E-2</v>
      </c>
      <c r="E225" s="3">
        <v>0.12145110327548342</v>
      </c>
    </row>
    <row r="226" spans="1:5" x14ac:dyDescent="0.25">
      <c r="A226" t="s">
        <v>396</v>
      </c>
      <c r="B226" t="s">
        <v>384</v>
      </c>
      <c r="C226" s="4">
        <v>0.16156764443399318</v>
      </c>
      <c r="D226" s="4">
        <v>9.4273232195398779E-2</v>
      </c>
      <c r="E226" s="3">
        <v>0.12792043831469599</v>
      </c>
    </row>
    <row r="227" spans="1:5" x14ac:dyDescent="0.25">
      <c r="A227" t="s">
        <v>396</v>
      </c>
      <c r="B227" t="s">
        <v>362</v>
      </c>
      <c r="C227" s="4">
        <v>0.17972432658491197</v>
      </c>
      <c r="D227" s="4">
        <v>0.112175826042993</v>
      </c>
      <c r="E227" s="3">
        <v>0.14595007631395249</v>
      </c>
    </row>
    <row r="228" spans="1:5" x14ac:dyDescent="0.25">
      <c r="A228" t="s">
        <v>396</v>
      </c>
      <c r="B228" t="s">
        <v>372</v>
      </c>
      <c r="C228" s="4">
        <v>0.19213654582494666</v>
      </c>
      <c r="D228" s="4">
        <v>0.11203323730965843</v>
      </c>
      <c r="E228" s="3">
        <v>0.15208489156730254</v>
      </c>
    </row>
    <row r="229" spans="1:5" x14ac:dyDescent="0.25">
      <c r="A229" t="s">
        <v>396</v>
      </c>
      <c r="B229" t="s">
        <v>300</v>
      </c>
      <c r="C229" s="4">
        <v>0.20074275615954887</v>
      </c>
      <c r="D229" s="4">
        <v>0.112175826042993</v>
      </c>
      <c r="E229" s="3">
        <v>0.15645929110127094</v>
      </c>
    </row>
    <row r="230" spans="1:5" x14ac:dyDescent="0.25">
      <c r="A230" t="s">
        <v>396</v>
      </c>
      <c r="B230" t="s">
        <v>284</v>
      </c>
      <c r="C230" s="4">
        <v>0.19797422903188289</v>
      </c>
      <c r="D230" s="4">
        <v>0.11830691860115265</v>
      </c>
      <c r="E230" s="3">
        <v>0.15814057381651778</v>
      </c>
    </row>
    <row r="231" spans="1:5" x14ac:dyDescent="0.25">
      <c r="A231" t="s">
        <v>396</v>
      </c>
      <c r="B231" t="s">
        <v>383</v>
      </c>
      <c r="C231" s="4">
        <v>0.18607579966482576</v>
      </c>
      <c r="D231" s="4">
        <v>0.13711512529188546</v>
      </c>
      <c r="E231" s="3">
        <v>0.1615954624783556</v>
      </c>
    </row>
    <row r="232" spans="1:5" x14ac:dyDescent="0.25">
      <c r="A232" t="s">
        <v>396</v>
      </c>
      <c r="B232" t="s">
        <v>309</v>
      </c>
      <c r="C232" s="4">
        <v>0.20859603960292525</v>
      </c>
      <c r="D232" s="4">
        <v>0.13063379961566032</v>
      </c>
      <c r="E232" s="3">
        <v>0.16961491960929279</v>
      </c>
    </row>
    <row r="233" spans="1:5" x14ac:dyDescent="0.25">
      <c r="A233" t="s">
        <v>396</v>
      </c>
      <c r="B233" t="s">
        <v>22</v>
      </c>
      <c r="C233" s="4">
        <v>0.24181346672629039</v>
      </c>
      <c r="D233" s="4">
        <v>0.1001296817910185</v>
      </c>
      <c r="E233" s="3">
        <v>0.17097157425865445</v>
      </c>
    </row>
    <row r="234" spans="1:5" x14ac:dyDescent="0.25">
      <c r="A234" t="s">
        <v>396</v>
      </c>
      <c r="B234" t="s">
        <v>388</v>
      </c>
      <c r="C234" s="4">
        <v>0.19960689387408875</v>
      </c>
      <c r="D234" s="4">
        <v>0.14350768512472842</v>
      </c>
      <c r="E234" s="3">
        <v>0.17155728949940857</v>
      </c>
    </row>
    <row r="235" spans="1:5" x14ac:dyDescent="0.25">
      <c r="A235" t="s">
        <v>396</v>
      </c>
      <c r="B235" t="s">
        <v>352</v>
      </c>
      <c r="C235" s="4">
        <v>0.20823894585883901</v>
      </c>
      <c r="D235" s="4">
        <v>0.1369661953936856</v>
      </c>
      <c r="E235" s="3">
        <v>0.1726025706262623</v>
      </c>
    </row>
    <row r="236" spans="1:5" x14ac:dyDescent="0.25">
      <c r="A236" t="s">
        <v>396</v>
      </c>
      <c r="B236" t="s">
        <v>391</v>
      </c>
      <c r="C236" s="4">
        <v>0.19794625483719136</v>
      </c>
      <c r="D236" s="4">
        <v>0.14995515701557569</v>
      </c>
      <c r="E236" s="3">
        <v>0.17395070592638351</v>
      </c>
    </row>
    <row r="237" spans="1:5" x14ac:dyDescent="0.25">
      <c r="A237" t="s">
        <v>396</v>
      </c>
      <c r="B237" t="s">
        <v>292</v>
      </c>
      <c r="C237" s="4">
        <v>0.21511634717105099</v>
      </c>
      <c r="D237" s="4">
        <v>0.1369661953936856</v>
      </c>
      <c r="E237" s="3">
        <v>0.17604127128236829</v>
      </c>
    </row>
    <row r="238" spans="1:5" x14ac:dyDescent="0.25">
      <c r="A238" t="s">
        <v>396</v>
      </c>
      <c r="B238" t="s">
        <v>373</v>
      </c>
      <c r="C238" s="4">
        <v>0.20300497298952588</v>
      </c>
      <c r="D238" s="4">
        <v>0.15645401606682174</v>
      </c>
      <c r="E238" s="3">
        <v>0.17972949452817383</v>
      </c>
    </row>
    <row r="239" spans="1:5" x14ac:dyDescent="0.25">
      <c r="A239" t="s">
        <v>396</v>
      </c>
      <c r="B239" t="s">
        <v>273</v>
      </c>
      <c r="C239" s="4">
        <v>0.20405197025311633</v>
      </c>
      <c r="D239" s="4">
        <v>0.15645401606682174</v>
      </c>
      <c r="E239" s="3">
        <v>0.18025299315996904</v>
      </c>
    </row>
    <row r="240" spans="1:5" x14ac:dyDescent="0.25">
      <c r="A240" t="s">
        <v>396</v>
      </c>
      <c r="B240" t="s">
        <v>377</v>
      </c>
      <c r="C240" s="4">
        <v>0.22746052719458695</v>
      </c>
      <c r="D240" s="4">
        <v>0.14335742549630742</v>
      </c>
      <c r="E240" s="3">
        <v>0.18540897634544717</v>
      </c>
    </row>
    <row r="241" spans="1:5" x14ac:dyDescent="0.25">
      <c r="A241" t="s">
        <v>396</v>
      </c>
      <c r="B241" t="s">
        <v>298</v>
      </c>
      <c r="C241" s="4">
        <v>0.23909965123218013</v>
      </c>
      <c r="D241" s="4">
        <v>0.14330402911157558</v>
      </c>
      <c r="E241" s="3">
        <v>0.19120184017187786</v>
      </c>
    </row>
    <row r="242" spans="1:5" x14ac:dyDescent="0.25">
      <c r="A242" t="s">
        <v>396</v>
      </c>
      <c r="B242" t="s">
        <v>279</v>
      </c>
      <c r="C242" s="4">
        <v>0.23405381530566929</v>
      </c>
      <c r="D242" s="4">
        <v>0.14980365347382874</v>
      </c>
      <c r="E242" s="3">
        <v>0.191928734389749</v>
      </c>
    </row>
    <row r="243" spans="1:5" x14ac:dyDescent="0.25">
      <c r="A243" t="s">
        <v>396</v>
      </c>
      <c r="B243" t="s">
        <v>319</v>
      </c>
      <c r="C243" s="4">
        <v>0.24141514555075685</v>
      </c>
      <c r="D243" s="4">
        <v>0.14330402911157558</v>
      </c>
      <c r="E243" s="3">
        <v>0.1923595873311662</v>
      </c>
    </row>
    <row r="244" spans="1:5" x14ac:dyDescent="0.25">
      <c r="A244" t="s">
        <v>396</v>
      </c>
      <c r="B244" t="s">
        <v>289</v>
      </c>
      <c r="C244" s="4">
        <v>0.25717529647048532</v>
      </c>
      <c r="D244" s="4">
        <v>0.13330699599135659</v>
      </c>
      <c r="E244" s="3">
        <v>0.19524114623092095</v>
      </c>
    </row>
    <row r="245" spans="1:5" x14ac:dyDescent="0.25">
      <c r="A245" t="s">
        <v>396</v>
      </c>
      <c r="B245" t="s">
        <v>346</v>
      </c>
      <c r="C245" s="4">
        <v>0.24862580411491042</v>
      </c>
      <c r="D245" s="4">
        <v>0.14974981449418778</v>
      </c>
      <c r="E245" s="3">
        <v>0.1991878093045491</v>
      </c>
    </row>
    <row r="246" spans="1:5" x14ac:dyDescent="0.25">
      <c r="A246" t="s">
        <v>396</v>
      </c>
      <c r="B246" t="s">
        <v>366</v>
      </c>
      <c r="C246" s="4">
        <v>0.25964065280715892</v>
      </c>
      <c r="D246" s="4">
        <v>0.14251725651746577</v>
      </c>
      <c r="E246" s="3">
        <v>0.20107895466231235</v>
      </c>
    </row>
    <row r="247" spans="1:5" x14ac:dyDescent="0.25">
      <c r="A247" t="s">
        <v>396</v>
      </c>
      <c r="B247" t="s">
        <v>376</v>
      </c>
      <c r="C247" s="4">
        <v>0.22964455425931707</v>
      </c>
      <c r="D247" s="4">
        <v>0.176227659719561</v>
      </c>
      <c r="E247" s="3">
        <v>0.20293610698943904</v>
      </c>
    </row>
    <row r="248" spans="1:5" x14ac:dyDescent="0.25">
      <c r="A248" t="s">
        <v>396</v>
      </c>
      <c r="B248" t="s">
        <v>331</v>
      </c>
      <c r="C248" s="4">
        <v>0.24464030567593392</v>
      </c>
      <c r="D248" s="4">
        <v>0.16284725423332438</v>
      </c>
      <c r="E248" s="3">
        <v>0.20374377995462917</v>
      </c>
    </row>
    <row r="249" spans="1:5" x14ac:dyDescent="0.25">
      <c r="A249" t="s">
        <v>396</v>
      </c>
      <c r="B249" t="s">
        <v>387</v>
      </c>
      <c r="C249" s="4">
        <v>0.24482592371099154</v>
      </c>
      <c r="D249" s="4">
        <v>0.16938336246445482</v>
      </c>
      <c r="E249" s="3">
        <v>0.20710464308772319</v>
      </c>
    </row>
    <row r="250" spans="1:5" x14ac:dyDescent="0.25">
      <c r="A250" t="s">
        <v>396</v>
      </c>
      <c r="B250" t="s">
        <v>369</v>
      </c>
      <c r="C250" s="4">
        <v>0.24261953279174719</v>
      </c>
      <c r="D250" s="4">
        <v>0.17520090045941614</v>
      </c>
      <c r="E250" s="3">
        <v>0.20891021662558168</v>
      </c>
    </row>
    <row r="251" spans="1:5" x14ac:dyDescent="0.25">
      <c r="A251" t="s">
        <v>396</v>
      </c>
      <c r="B251" t="s">
        <v>310</v>
      </c>
      <c r="C251" s="4">
        <v>0.28652589206602608</v>
      </c>
      <c r="D251" s="4">
        <v>0.1338834633627812</v>
      </c>
      <c r="E251" s="3">
        <v>0.21020467771440365</v>
      </c>
    </row>
    <row r="252" spans="1:5" x14ac:dyDescent="0.25">
      <c r="A252" t="s">
        <v>396</v>
      </c>
      <c r="B252" t="s">
        <v>280</v>
      </c>
      <c r="C252" s="4">
        <v>0.2480523857314178</v>
      </c>
      <c r="D252" s="4">
        <v>0.17669730184912533</v>
      </c>
      <c r="E252" s="3">
        <v>0.21237484379027155</v>
      </c>
    </row>
    <row r="253" spans="1:5" x14ac:dyDescent="0.25">
      <c r="A253" t="s">
        <v>396</v>
      </c>
      <c r="B253" t="s">
        <v>320</v>
      </c>
      <c r="C253" s="4">
        <v>0.31890631299090039</v>
      </c>
      <c r="D253" s="4">
        <v>0.11461872975291477</v>
      </c>
      <c r="E253" s="3">
        <v>0.21676252137190757</v>
      </c>
    </row>
    <row r="254" spans="1:5" x14ac:dyDescent="0.25">
      <c r="A254" t="s">
        <v>396</v>
      </c>
      <c r="B254" t="s">
        <v>266</v>
      </c>
      <c r="C254" s="4">
        <v>0.22442280551184249</v>
      </c>
      <c r="D254" s="4">
        <v>0.21679307305766293</v>
      </c>
      <c r="E254" s="3">
        <v>0.2206079392847527</v>
      </c>
    </row>
    <row r="255" spans="1:5" x14ac:dyDescent="0.25">
      <c r="A255" t="s">
        <v>396</v>
      </c>
      <c r="B255" t="s">
        <v>306</v>
      </c>
      <c r="C255" s="4">
        <v>0.27127999681101478</v>
      </c>
      <c r="D255" s="4">
        <v>0.17601656656408202</v>
      </c>
      <c r="E255" s="3">
        <v>0.22364828168754841</v>
      </c>
    </row>
    <row r="256" spans="1:5" x14ac:dyDescent="0.25">
      <c r="A256" t="s">
        <v>396</v>
      </c>
      <c r="B256" t="s">
        <v>381</v>
      </c>
      <c r="C256" s="4">
        <v>0.23858055945793094</v>
      </c>
      <c r="D256" s="4">
        <v>0.22350069533885958</v>
      </c>
      <c r="E256" s="3">
        <v>0.23104062739839526</v>
      </c>
    </row>
    <row r="257" spans="1:5" x14ac:dyDescent="0.25">
      <c r="A257" t="s">
        <v>396</v>
      </c>
      <c r="B257" t="s">
        <v>287</v>
      </c>
      <c r="C257" s="4">
        <v>0.26667497603728468</v>
      </c>
      <c r="D257" s="4">
        <v>0.20362039456322009</v>
      </c>
      <c r="E257" s="3">
        <v>0.23514768530025237</v>
      </c>
    </row>
    <row r="258" spans="1:5" x14ac:dyDescent="0.25">
      <c r="A258" t="s">
        <v>396</v>
      </c>
      <c r="B258" t="s">
        <v>323</v>
      </c>
      <c r="C258" s="4">
        <v>0.27829962135855996</v>
      </c>
      <c r="D258" s="4">
        <v>0.19614611918768488</v>
      </c>
      <c r="E258" s="3">
        <v>0.23722287027312242</v>
      </c>
    </row>
    <row r="259" spans="1:5" x14ac:dyDescent="0.25">
      <c r="A259" t="s">
        <v>396</v>
      </c>
      <c r="B259" t="s">
        <v>269</v>
      </c>
      <c r="C259" s="4">
        <v>0.2865100569094397</v>
      </c>
      <c r="D259" s="4">
        <v>0.1934180015787961</v>
      </c>
      <c r="E259" s="3">
        <v>0.23996402924411792</v>
      </c>
    </row>
    <row r="260" spans="1:5" x14ac:dyDescent="0.25">
      <c r="A260" t="s">
        <v>396</v>
      </c>
      <c r="B260" t="s">
        <v>305</v>
      </c>
      <c r="C260" s="4">
        <v>0.29025288861476306</v>
      </c>
      <c r="D260" s="4">
        <v>0.19614611918768488</v>
      </c>
      <c r="E260" s="3">
        <v>0.24319950390122397</v>
      </c>
    </row>
    <row r="261" spans="1:5" x14ac:dyDescent="0.25">
      <c r="A261" t="s">
        <v>396</v>
      </c>
      <c r="B261" t="s">
        <v>378</v>
      </c>
      <c r="C261" s="4">
        <v>0.27823170763381649</v>
      </c>
      <c r="D261" s="4">
        <v>0.22350069533885958</v>
      </c>
      <c r="E261" s="3">
        <v>0.25086620148633804</v>
      </c>
    </row>
    <row r="262" spans="1:5" x14ac:dyDescent="0.25">
      <c r="A262" t="s">
        <v>396</v>
      </c>
      <c r="B262" t="s">
        <v>330</v>
      </c>
      <c r="C262" s="4">
        <v>0.28535541770073214</v>
      </c>
      <c r="D262" s="4">
        <v>0.21663263833086829</v>
      </c>
      <c r="E262" s="3">
        <v>0.25099402801580023</v>
      </c>
    </row>
    <row r="263" spans="1:5" x14ac:dyDescent="0.25">
      <c r="A263" t="s">
        <v>396</v>
      </c>
      <c r="B263" t="s">
        <v>321</v>
      </c>
      <c r="C263" s="4">
        <v>0.28561843702119882</v>
      </c>
      <c r="D263" s="4">
        <v>0.22344345381371522</v>
      </c>
      <c r="E263" s="3">
        <v>0.25453094541745702</v>
      </c>
    </row>
    <row r="264" spans="1:5" x14ac:dyDescent="0.25">
      <c r="A264" t="s">
        <v>396</v>
      </c>
      <c r="B264" t="s">
        <v>371</v>
      </c>
      <c r="C264" s="4">
        <v>0.29730608372963807</v>
      </c>
      <c r="D264" s="4">
        <v>0.21663263833086829</v>
      </c>
      <c r="E264" s="3">
        <v>0.2569693610302532</v>
      </c>
    </row>
    <row r="265" spans="1:5" x14ac:dyDescent="0.25">
      <c r="A265" t="s">
        <v>396</v>
      </c>
      <c r="B265" t="s">
        <v>293</v>
      </c>
      <c r="C265" s="4">
        <v>0.29711774123080736</v>
      </c>
      <c r="D265" s="4">
        <v>0.22066695093138788</v>
      </c>
      <c r="E265" s="3">
        <v>0.25889234608109762</v>
      </c>
    </row>
    <row r="266" spans="1:5" x14ac:dyDescent="0.25">
      <c r="A266" t="s">
        <v>396</v>
      </c>
      <c r="B266" t="s">
        <v>327</v>
      </c>
      <c r="C266" s="4">
        <v>0.29848045570610648</v>
      </c>
      <c r="D266" s="4">
        <v>0.22259976356339195</v>
      </c>
      <c r="E266" s="3">
        <v>0.26054010963474922</v>
      </c>
    </row>
    <row r="267" spans="1:5" x14ac:dyDescent="0.25">
      <c r="A267" t="s">
        <v>396</v>
      </c>
      <c r="B267" t="s">
        <v>382</v>
      </c>
      <c r="C267" s="4">
        <v>0.29438355966484703</v>
      </c>
      <c r="D267" s="4">
        <v>0.22755064967874489</v>
      </c>
      <c r="E267" s="3">
        <v>0.26096710467179596</v>
      </c>
    </row>
    <row r="268" spans="1:5" x14ac:dyDescent="0.25">
      <c r="A268" t="s">
        <v>396</v>
      </c>
      <c r="B268" t="s">
        <v>390</v>
      </c>
      <c r="C268" s="4">
        <v>0.30180843455026091</v>
      </c>
      <c r="D268" s="4">
        <v>0.22344345381371522</v>
      </c>
      <c r="E268" s="3">
        <v>0.26262594418198804</v>
      </c>
    </row>
    <row r="269" spans="1:5" x14ac:dyDescent="0.25">
      <c r="A269" t="s">
        <v>396</v>
      </c>
      <c r="B269" t="s">
        <v>294</v>
      </c>
      <c r="C269" s="4">
        <v>0.2988779275299378</v>
      </c>
      <c r="D269" s="4">
        <v>0.23039504966347343</v>
      </c>
      <c r="E269" s="3">
        <v>0.26463648859670563</v>
      </c>
    </row>
    <row r="270" spans="1:5" x14ac:dyDescent="0.25">
      <c r="A270" t="s">
        <v>396</v>
      </c>
      <c r="B270" t="s">
        <v>278</v>
      </c>
      <c r="C270" s="4">
        <v>0.32255329334107763</v>
      </c>
      <c r="D270" s="4">
        <v>0.20739311718522344</v>
      </c>
      <c r="E270" s="3">
        <v>0.26497320526315055</v>
      </c>
    </row>
    <row r="271" spans="1:5" x14ac:dyDescent="0.25">
      <c r="A271" t="s">
        <v>396</v>
      </c>
      <c r="B271" t="s">
        <v>389</v>
      </c>
      <c r="C271" s="4">
        <v>0.30861802655050208</v>
      </c>
      <c r="D271" s="4">
        <v>0.22641609842391558</v>
      </c>
      <c r="E271" s="3">
        <v>0.26751706248720886</v>
      </c>
    </row>
    <row r="272" spans="1:5" x14ac:dyDescent="0.25">
      <c r="A272" t="s">
        <v>396</v>
      </c>
      <c r="B272" t="s">
        <v>304</v>
      </c>
      <c r="C272" s="4">
        <v>0.31692130700368903</v>
      </c>
      <c r="D272" s="4">
        <v>0.22066695093138788</v>
      </c>
      <c r="E272" s="3">
        <v>0.26879412896753846</v>
      </c>
    </row>
    <row r="273" spans="1:5" x14ac:dyDescent="0.25">
      <c r="A273" t="s">
        <v>396</v>
      </c>
      <c r="B273" t="s">
        <v>344</v>
      </c>
      <c r="C273" s="4">
        <v>0.31092941733208895</v>
      </c>
      <c r="D273" s="4">
        <v>0.22755064967874489</v>
      </c>
      <c r="E273" s="3">
        <v>0.26924003350541692</v>
      </c>
    </row>
    <row r="274" spans="1:5" x14ac:dyDescent="0.25">
      <c r="A274" t="s">
        <v>396</v>
      </c>
      <c r="B274" t="s">
        <v>329</v>
      </c>
      <c r="C274" s="4">
        <v>0.29081588086022298</v>
      </c>
      <c r="D274" s="4">
        <v>0.25030845751366121</v>
      </c>
      <c r="E274" s="3">
        <v>0.27056216918694209</v>
      </c>
    </row>
    <row r="275" spans="1:5" x14ac:dyDescent="0.25">
      <c r="A275" t="s">
        <v>396</v>
      </c>
      <c r="B275" t="s">
        <v>385</v>
      </c>
      <c r="C275" s="4">
        <v>0.30794484676090145</v>
      </c>
      <c r="D275" s="4">
        <v>0.23395113449129457</v>
      </c>
      <c r="E275" s="3">
        <v>0.27094799062609798</v>
      </c>
    </row>
    <row r="276" spans="1:5" x14ac:dyDescent="0.25">
      <c r="A276" t="s">
        <v>396</v>
      </c>
      <c r="B276" t="s">
        <v>307</v>
      </c>
      <c r="C276" s="4">
        <v>0.31924809400007337</v>
      </c>
      <c r="D276" s="4">
        <v>0.22344345381371522</v>
      </c>
      <c r="E276" s="3">
        <v>0.27134577390689429</v>
      </c>
    </row>
    <row r="277" spans="1:5" x14ac:dyDescent="0.25">
      <c r="A277" t="s">
        <v>396</v>
      </c>
      <c r="B277" t="s">
        <v>317</v>
      </c>
      <c r="C277" s="4">
        <v>0.32560233307155778</v>
      </c>
      <c r="D277" s="4">
        <v>0.22108157159727951</v>
      </c>
      <c r="E277" s="3">
        <v>0.27334195233441866</v>
      </c>
    </row>
    <row r="278" spans="1:5" x14ac:dyDescent="0.25">
      <c r="A278" t="s">
        <v>396</v>
      </c>
      <c r="B278" t="s">
        <v>311</v>
      </c>
      <c r="C278" s="4">
        <v>0.38780797349676877</v>
      </c>
      <c r="D278" s="4">
        <v>0.16053922923813005</v>
      </c>
      <c r="E278" s="3">
        <v>0.27417360136744939</v>
      </c>
    </row>
    <row r="279" spans="1:5" x14ac:dyDescent="0.25">
      <c r="A279" t="s">
        <v>396</v>
      </c>
      <c r="B279" t="s">
        <v>340</v>
      </c>
      <c r="C279" s="4">
        <v>0.34465634349851482</v>
      </c>
      <c r="D279" s="4">
        <v>0.2064812425812815</v>
      </c>
      <c r="E279" s="3">
        <v>0.27556879303989817</v>
      </c>
    </row>
    <row r="280" spans="1:5" x14ac:dyDescent="0.25">
      <c r="A280" t="s">
        <v>396</v>
      </c>
      <c r="B280" t="s">
        <v>290</v>
      </c>
      <c r="C280" s="4">
        <v>0.32831595262626284</v>
      </c>
      <c r="D280" s="4">
        <v>0.22641609842391558</v>
      </c>
      <c r="E280" s="3">
        <v>0.27736602552508921</v>
      </c>
    </row>
    <row r="281" spans="1:5" x14ac:dyDescent="0.25">
      <c r="A281" t="s">
        <v>396</v>
      </c>
      <c r="B281" t="s">
        <v>271</v>
      </c>
      <c r="C281" s="4">
        <v>0.26881974229912664</v>
      </c>
      <c r="D281" s="4">
        <v>0.28650419720303361</v>
      </c>
      <c r="E281" s="3">
        <v>0.27766196975108015</v>
      </c>
    </row>
    <row r="282" spans="1:5" x14ac:dyDescent="0.25">
      <c r="A282" t="s">
        <v>396</v>
      </c>
      <c r="B282" t="s">
        <v>375</v>
      </c>
      <c r="C282" s="4">
        <v>0.31387393756533383</v>
      </c>
      <c r="D282" s="4">
        <v>0.24419906118566123</v>
      </c>
      <c r="E282" s="3">
        <v>0.27903649937549752</v>
      </c>
    </row>
    <row r="283" spans="1:5" x14ac:dyDescent="0.25">
      <c r="A283" t="s">
        <v>396</v>
      </c>
      <c r="B283" t="s">
        <v>285</v>
      </c>
      <c r="C283" s="4">
        <v>0.32137382331019981</v>
      </c>
      <c r="D283" s="4">
        <v>0.23796560954107474</v>
      </c>
      <c r="E283" s="3">
        <v>0.27966971642563726</v>
      </c>
    </row>
    <row r="284" spans="1:5" x14ac:dyDescent="0.25">
      <c r="A284" t="s">
        <v>396</v>
      </c>
      <c r="B284" t="s">
        <v>380</v>
      </c>
      <c r="C284" s="4">
        <v>0.31006893390530993</v>
      </c>
      <c r="D284" s="4">
        <v>0.25135776676540816</v>
      </c>
      <c r="E284" s="3">
        <v>0.28071335033535905</v>
      </c>
    </row>
    <row r="285" spans="1:5" x14ac:dyDescent="0.25">
      <c r="A285" t="s">
        <v>396</v>
      </c>
      <c r="B285" t="s">
        <v>275</v>
      </c>
      <c r="C285" s="4">
        <v>0.32025649932812505</v>
      </c>
      <c r="D285" s="4">
        <v>0.24491041097279831</v>
      </c>
      <c r="E285" s="3">
        <v>0.28258345515046168</v>
      </c>
    </row>
    <row r="286" spans="1:5" x14ac:dyDescent="0.25">
      <c r="A286" t="s">
        <v>396</v>
      </c>
      <c r="B286" t="s">
        <v>349</v>
      </c>
      <c r="C286" s="4">
        <v>0.32038877195853438</v>
      </c>
      <c r="D286" s="4">
        <v>0.2483487840910433</v>
      </c>
      <c r="E286" s="3">
        <v>0.28436877802478883</v>
      </c>
    </row>
    <row r="287" spans="1:5" x14ac:dyDescent="0.25">
      <c r="A287" t="s">
        <v>396</v>
      </c>
      <c r="B287" t="s">
        <v>359</v>
      </c>
      <c r="C287" s="4">
        <v>0.28448451016739407</v>
      </c>
      <c r="D287" s="4">
        <v>0.28633878894339426</v>
      </c>
      <c r="E287" s="3">
        <v>0.28541164955539416</v>
      </c>
    </row>
    <row r="288" spans="1:5" x14ac:dyDescent="0.25">
      <c r="A288" t="s">
        <v>396</v>
      </c>
      <c r="B288" t="s">
        <v>357</v>
      </c>
      <c r="C288" s="4">
        <v>0.31515131630834703</v>
      </c>
      <c r="D288" s="4">
        <v>0.26117086665170153</v>
      </c>
      <c r="E288" s="3">
        <v>0.28816109148002428</v>
      </c>
    </row>
    <row r="289" spans="1:5" x14ac:dyDescent="0.25">
      <c r="A289" t="s">
        <v>396</v>
      </c>
      <c r="B289" t="s">
        <v>301</v>
      </c>
      <c r="C289" s="4">
        <v>0.2768037140729156</v>
      </c>
      <c r="D289" s="4">
        <v>0.30066956530382277</v>
      </c>
      <c r="E289" s="3">
        <v>0.28873663968836916</v>
      </c>
    </row>
    <row r="290" spans="1:5" x14ac:dyDescent="0.25">
      <c r="A290" t="s">
        <v>396</v>
      </c>
      <c r="B290" t="s">
        <v>368</v>
      </c>
      <c r="C290" s="4">
        <v>0.33146662239736274</v>
      </c>
      <c r="D290" s="4">
        <v>0.24720263775985626</v>
      </c>
      <c r="E290" s="3">
        <v>0.28933463007860949</v>
      </c>
    </row>
    <row r="291" spans="1:5" x14ac:dyDescent="0.25">
      <c r="A291" t="s">
        <v>396</v>
      </c>
      <c r="B291" t="s">
        <v>336</v>
      </c>
      <c r="C291" s="4">
        <v>0.31630318145726632</v>
      </c>
      <c r="D291" s="4">
        <v>0.26587248627663107</v>
      </c>
      <c r="E291" s="3">
        <v>0.2910878338669487</v>
      </c>
    </row>
    <row r="292" spans="1:5" x14ac:dyDescent="0.25">
      <c r="A292" t="s">
        <v>396</v>
      </c>
      <c r="B292" t="s">
        <v>358</v>
      </c>
      <c r="C292" s="4">
        <v>0.33772724584330038</v>
      </c>
      <c r="D292" s="4">
        <v>0.24783679635434347</v>
      </c>
      <c r="E292" s="3">
        <v>0.2927820210988219</v>
      </c>
    </row>
    <row r="293" spans="1:5" x14ac:dyDescent="0.25">
      <c r="A293" t="s">
        <v>396</v>
      </c>
      <c r="B293" t="s">
        <v>379</v>
      </c>
      <c r="C293" s="4">
        <v>0.36575924988186614</v>
      </c>
      <c r="D293" s="4">
        <v>0.22796684619275401</v>
      </c>
      <c r="E293" s="3">
        <v>0.29686304803731006</v>
      </c>
    </row>
    <row r="294" spans="1:5" x14ac:dyDescent="0.25">
      <c r="A294" t="s">
        <v>396</v>
      </c>
      <c r="B294" t="s">
        <v>282</v>
      </c>
      <c r="C294" s="4">
        <v>0.28034787491799534</v>
      </c>
      <c r="D294" s="4">
        <v>0.31379211150953756</v>
      </c>
      <c r="E294" s="3">
        <v>0.29706999321376648</v>
      </c>
    </row>
    <row r="295" spans="1:5" x14ac:dyDescent="0.25">
      <c r="A295" t="s">
        <v>396</v>
      </c>
      <c r="B295" t="s">
        <v>297</v>
      </c>
      <c r="C295" s="4">
        <v>0.33701745635644309</v>
      </c>
      <c r="D295" s="4">
        <v>0.25729160148733521</v>
      </c>
      <c r="E295" s="3">
        <v>0.29715452892188915</v>
      </c>
    </row>
    <row r="296" spans="1:5" x14ac:dyDescent="0.25">
      <c r="A296" t="s">
        <v>396</v>
      </c>
      <c r="B296" t="s">
        <v>328</v>
      </c>
      <c r="C296" s="4">
        <v>0.37323908491079016</v>
      </c>
      <c r="D296" s="4">
        <v>0.22108157159727951</v>
      </c>
      <c r="E296" s="3">
        <v>0.29716032825403482</v>
      </c>
    </row>
    <row r="297" spans="1:5" x14ac:dyDescent="0.25">
      <c r="A297" t="s">
        <v>396</v>
      </c>
      <c r="B297" t="s">
        <v>342</v>
      </c>
      <c r="C297" s="4">
        <v>0.33368785391597311</v>
      </c>
      <c r="D297" s="4">
        <v>0.26180874763907191</v>
      </c>
      <c r="E297" s="3">
        <v>0.29774830077752251</v>
      </c>
    </row>
    <row r="298" spans="1:5" x14ac:dyDescent="0.25">
      <c r="A298" t="s">
        <v>396</v>
      </c>
      <c r="B298" t="s">
        <v>347</v>
      </c>
      <c r="C298" s="4">
        <v>0.30963475729741102</v>
      </c>
      <c r="D298" s="4">
        <v>0.29248626449883308</v>
      </c>
      <c r="E298" s="3">
        <v>0.30106051089812202</v>
      </c>
    </row>
    <row r="299" spans="1:5" x14ac:dyDescent="0.25">
      <c r="A299" t="s">
        <v>396</v>
      </c>
      <c r="B299" t="s">
        <v>286</v>
      </c>
      <c r="C299" s="4">
        <v>0.3307153017101333</v>
      </c>
      <c r="D299" s="4">
        <v>0.2728986197422118</v>
      </c>
      <c r="E299" s="3">
        <v>0.30180696072617252</v>
      </c>
    </row>
    <row r="300" spans="1:5" x14ac:dyDescent="0.25">
      <c r="A300" t="s">
        <v>396</v>
      </c>
      <c r="B300" t="s">
        <v>268</v>
      </c>
      <c r="C300" s="4">
        <v>0.39688889925592324</v>
      </c>
      <c r="D300" s="4">
        <v>0.20739311718522344</v>
      </c>
      <c r="E300" s="3">
        <v>0.30214100822057333</v>
      </c>
    </row>
    <row r="301" spans="1:5" x14ac:dyDescent="0.25">
      <c r="A301" t="s">
        <v>396</v>
      </c>
      <c r="B301" t="s">
        <v>264</v>
      </c>
      <c r="C301" s="4">
        <v>0.33683089928055143</v>
      </c>
      <c r="D301" s="4">
        <v>0.26882419051520967</v>
      </c>
      <c r="E301" s="3">
        <v>0.30282754489788055</v>
      </c>
    </row>
    <row r="302" spans="1:5" x14ac:dyDescent="0.25">
      <c r="A302" t="s">
        <v>396</v>
      </c>
      <c r="B302" t="s">
        <v>302</v>
      </c>
      <c r="C302" s="4">
        <v>0.32532866406055244</v>
      </c>
      <c r="D302" s="4">
        <v>0.28541346469437795</v>
      </c>
      <c r="E302" s="3">
        <v>0.3053710643774652</v>
      </c>
    </row>
    <row r="303" spans="1:5" x14ac:dyDescent="0.25">
      <c r="A303" t="s">
        <v>396</v>
      </c>
      <c r="B303" t="s">
        <v>351</v>
      </c>
      <c r="C303" s="4">
        <v>0.34704888235157771</v>
      </c>
      <c r="D303" s="4">
        <v>0.26587248627663107</v>
      </c>
      <c r="E303" s="3">
        <v>0.30646068431410439</v>
      </c>
    </row>
    <row r="304" spans="1:5" x14ac:dyDescent="0.25">
      <c r="A304" t="s">
        <v>396</v>
      </c>
      <c r="B304" t="s">
        <v>154</v>
      </c>
      <c r="C304" s="4">
        <v>0.33181245304668577</v>
      </c>
      <c r="D304" s="4">
        <v>0.28541346469437795</v>
      </c>
      <c r="E304" s="3">
        <v>0.30861295887053186</v>
      </c>
    </row>
    <row r="305" spans="1:5" x14ac:dyDescent="0.25">
      <c r="A305" t="s">
        <v>396</v>
      </c>
      <c r="B305" t="s">
        <v>325</v>
      </c>
      <c r="C305" s="4">
        <v>0.36886637463322292</v>
      </c>
      <c r="D305" s="4">
        <v>0.24876920553657669</v>
      </c>
      <c r="E305" s="3">
        <v>0.30881779008489979</v>
      </c>
    </row>
    <row r="306" spans="1:5" x14ac:dyDescent="0.25">
      <c r="A306" t="s">
        <v>396</v>
      </c>
      <c r="B306" t="s">
        <v>274</v>
      </c>
      <c r="C306" s="4">
        <v>0.31679148135884194</v>
      </c>
      <c r="D306" s="4">
        <v>0.30667639566062882</v>
      </c>
      <c r="E306" s="3">
        <v>0.31173393850973541</v>
      </c>
    </row>
    <row r="307" spans="1:5" x14ac:dyDescent="0.25">
      <c r="A307" t="s">
        <v>396</v>
      </c>
      <c r="B307" t="s">
        <v>350</v>
      </c>
      <c r="C307" s="4">
        <v>0.3562226982992886</v>
      </c>
      <c r="D307" s="4">
        <v>0.27237480558269711</v>
      </c>
      <c r="E307" s="3">
        <v>0.31429875194099288</v>
      </c>
    </row>
    <row r="308" spans="1:5" x14ac:dyDescent="0.25">
      <c r="A308" t="s">
        <v>396</v>
      </c>
      <c r="B308" t="s">
        <v>374</v>
      </c>
      <c r="C308" s="4">
        <v>0.36451374167222761</v>
      </c>
      <c r="D308" s="4">
        <v>0.26535002646125339</v>
      </c>
      <c r="E308" s="3">
        <v>0.3149318840667405</v>
      </c>
    </row>
    <row r="309" spans="1:5" x14ac:dyDescent="0.25">
      <c r="A309" t="s">
        <v>396</v>
      </c>
      <c r="B309" t="s">
        <v>312</v>
      </c>
      <c r="C309" s="4">
        <v>0.33393565835098149</v>
      </c>
      <c r="D309" s="4">
        <v>0.29957418401892483</v>
      </c>
      <c r="E309" s="3">
        <v>0.31675492118495319</v>
      </c>
    </row>
    <row r="310" spans="1:5" x14ac:dyDescent="0.25">
      <c r="A310" t="s">
        <v>396</v>
      </c>
      <c r="B310" t="s">
        <v>332</v>
      </c>
      <c r="C310" s="4">
        <v>0.3507686520231254</v>
      </c>
      <c r="D310" s="4">
        <v>0.29049606376776621</v>
      </c>
      <c r="E310" s="3">
        <v>0.32063235789544581</v>
      </c>
    </row>
    <row r="311" spans="1:5" x14ac:dyDescent="0.25">
      <c r="A311" t="s">
        <v>396</v>
      </c>
      <c r="B311" t="s">
        <v>291</v>
      </c>
      <c r="C311" s="4">
        <v>0.33676615186770631</v>
      </c>
      <c r="D311" s="4">
        <v>0.30827568664523297</v>
      </c>
      <c r="E311" s="3">
        <v>0.32252091925646964</v>
      </c>
    </row>
    <row r="312" spans="1:5" x14ac:dyDescent="0.25">
      <c r="A312" t="s">
        <v>396</v>
      </c>
      <c r="B312" t="s">
        <v>363</v>
      </c>
      <c r="C312" s="4">
        <v>0.34383964992098165</v>
      </c>
      <c r="D312" s="4">
        <v>0.30350905306589249</v>
      </c>
      <c r="E312" s="3">
        <v>0.32367435149343704</v>
      </c>
    </row>
    <row r="313" spans="1:5" x14ac:dyDescent="0.25">
      <c r="A313" t="s">
        <v>396</v>
      </c>
      <c r="B313" t="s">
        <v>324</v>
      </c>
      <c r="C313" s="4">
        <v>0.4008012694311664</v>
      </c>
      <c r="D313" s="4">
        <v>0.24876920553657669</v>
      </c>
      <c r="E313" s="3">
        <v>0.32478523748387156</v>
      </c>
    </row>
    <row r="314" spans="1:5" x14ac:dyDescent="0.25">
      <c r="A314" t="s">
        <v>396</v>
      </c>
      <c r="B314" t="s">
        <v>315</v>
      </c>
      <c r="C314" s="4">
        <v>0.3464374692035746</v>
      </c>
      <c r="D314" s="4">
        <v>0.30774612794436257</v>
      </c>
      <c r="E314" s="3">
        <v>0.32709179857396858</v>
      </c>
    </row>
    <row r="315" spans="1:5" x14ac:dyDescent="0.25">
      <c r="A315" t="s">
        <v>396</v>
      </c>
      <c r="B315" t="s">
        <v>326</v>
      </c>
      <c r="C315" s="4">
        <v>0.35932970827406424</v>
      </c>
      <c r="D315" s="4">
        <v>0.29800773027194594</v>
      </c>
      <c r="E315" s="3">
        <v>0.32866871927300512</v>
      </c>
    </row>
    <row r="316" spans="1:5" x14ac:dyDescent="0.25">
      <c r="A316" t="s">
        <v>396</v>
      </c>
      <c r="B316" t="s">
        <v>313</v>
      </c>
      <c r="C316" s="4">
        <v>0.36650297379348434</v>
      </c>
      <c r="D316" s="4">
        <v>0.29355171365243304</v>
      </c>
      <c r="E316" s="3">
        <v>0.33002734372295872</v>
      </c>
    </row>
    <row r="317" spans="1:5" x14ac:dyDescent="0.25">
      <c r="A317" t="s">
        <v>396</v>
      </c>
      <c r="B317" t="s">
        <v>333</v>
      </c>
      <c r="C317" s="4">
        <v>0.35601729072354787</v>
      </c>
      <c r="D317" s="4">
        <v>0.30415590547761923</v>
      </c>
      <c r="E317" s="3">
        <v>0.33008659810058355</v>
      </c>
    </row>
    <row r="318" spans="1:5" x14ac:dyDescent="0.25">
      <c r="A318" t="s">
        <v>396</v>
      </c>
      <c r="B318" t="s">
        <v>370</v>
      </c>
      <c r="C318" s="4">
        <v>0.33496792731627623</v>
      </c>
      <c r="D318" s="4">
        <v>0.32806108641503706</v>
      </c>
      <c r="E318" s="3">
        <v>0.33151450686565664</v>
      </c>
    </row>
    <row r="319" spans="1:5" x14ac:dyDescent="0.25">
      <c r="A319" t="s">
        <v>396</v>
      </c>
      <c r="B319" t="s">
        <v>267</v>
      </c>
      <c r="C319" s="4">
        <v>0.37307757630567778</v>
      </c>
      <c r="D319" s="4">
        <v>0.29641311239290358</v>
      </c>
      <c r="E319" s="3">
        <v>0.33474534434929071</v>
      </c>
    </row>
    <row r="320" spans="1:5" x14ac:dyDescent="0.25">
      <c r="A320" t="s">
        <v>396</v>
      </c>
      <c r="B320" t="s">
        <v>270</v>
      </c>
      <c r="C320" s="4">
        <v>0.36366039578204734</v>
      </c>
      <c r="D320" s="4">
        <v>0.30667639566062882</v>
      </c>
      <c r="E320" s="3">
        <v>0.33516839572133805</v>
      </c>
    </row>
    <row r="321" spans="1:5" x14ac:dyDescent="0.25">
      <c r="A321" t="s">
        <v>396</v>
      </c>
      <c r="B321" t="s">
        <v>265</v>
      </c>
      <c r="C321" s="4">
        <v>0.39499016394654279</v>
      </c>
      <c r="D321" s="4">
        <v>0.2768005752890188</v>
      </c>
      <c r="E321" s="3">
        <v>0.33589536961778077</v>
      </c>
    </row>
    <row r="322" spans="1:5" x14ac:dyDescent="0.25">
      <c r="A322" t="s">
        <v>396</v>
      </c>
      <c r="B322" t="s">
        <v>308</v>
      </c>
      <c r="C322" s="4">
        <v>0.3680903181463494</v>
      </c>
      <c r="D322" s="4">
        <v>0.30415590547761923</v>
      </c>
      <c r="E322" s="3">
        <v>0.33612311181198429</v>
      </c>
    </row>
    <row r="323" spans="1:5" x14ac:dyDescent="0.25">
      <c r="A323" t="s">
        <v>396</v>
      </c>
      <c r="B323" t="s">
        <v>281</v>
      </c>
      <c r="C323" s="4">
        <v>0.36297282169248285</v>
      </c>
      <c r="D323" s="4">
        <v>0.31126691956413088</v>
      </c>
      <c r="E323" s="3">
        <v>0.33711987062830684</v>
      </c>
    </row>
    <row r="324" spans="1:5" x14ac:dyDescent="0.25">
      <c r="A324" t="s">
        <v>396</v>
      </c>
      <c r="B324" t="s">
        <v>367</v>
      </c>
      <c r="C324" s="4">
        <v>0.35600892622793356</v>
      </c>
      <c r="D324" s="4">
        <v>0.32199413498810758</v>
      </c>
      <c r="E324" s="3">
        <v>0.33900153060802057</v>
      </c>
    </row>
    <row r="325" spans="1:5" x14ac:dyDescent="0.25">
      <c r="A325" t="s">
        <v>396</v>
      </c>
      <c r="B325" t="s">
        <v>354</v>
      </c>
      <c r="C325" s="4">
        <v>0.39217610477990983</v>
      </c>
      <c r="D325" s="4">
        <v>0.28647658440801493</v>
      </c>
      <c r="E325" s="3">
        <v>0.33932634459396238</v>
      </c>
    </row>
    <row r="326" spans="1:5" x14ac:dyDescent="0.25">
      <c r="A326" t="s">
        <v>396</v>
      </c>
      <c r="B326" t="s">
        <v>355</v>
      </c>
      <c r="C326" s="4">
        <v>0.36053134054145453</v>
      </c>
      <c r="D326" s="4">
        <v>0.31839094947948404</v>
      </c>
      <c r="E326" s="3">
        <v>0.33946114501046931</v>
      </c>
    </row>
    <row r="327" spans="1:5" x14ac:dyDescent="0.25">
      <c r="A327" t="s">
        <v>396</v>
      </c>
      <c r="B327" t="s">
        <v>343</v>
      </c>
      <c r="C327" s="4">
        <v>0.36439606950237674</v>
      </c>
      <c r="D327" s="4">
        <v>0.31891504563006146</v>
      </c>
      <c r="E327" s="3">
        <v>0.34165555756621913</v>
      </c>
    </row>
    <row r="328" spans="1:5" x14ac:dyDescent="0.25">
      <c r="A328" t="s">
        <v>396</v>
      </c>
      <c r="B328" t="s">
        <v>348</v>
      </c>
      <c r="C328" s="4">
        <v>0.38593235823368671</v>
      </c>
      <c r="D328" s="4">
        <v>0.30467809178804955</v>
      </c>
      <c r="E328" s="3">
        <v>0.34530522501086813</v>
      </c>
    </row>
    <row r="329" spans="1:5" x14ac:dyDescent="0.25">
      <c r="A329" t="s">
        <v>396</v>
      </c>
      <c r="B329" t="s">
        <v>353</v>
      </c>
      <c r="C329" s="4">
        <v>0.37928072218141856</v>
      </c>
      <c r="D329" s="4">
        <v>0.31179008830181082</v>
      </c>
      <c r="E329" s="3">
        <v>0.34553540524161469</v>
      </c>
    </row>
    <row r="330" spans="1:5" x14ac:dyDescent="0.25">
      <c r="A330" t="s">
        <v>396</v>
      </c>
      <c r="B330" t="s">
        <v>276</v>
      </c>
      <c r="C330" s="4">
        <v>0.37685385512257252</v>
      </c>
      <c r="D330" s="4">
        <v>0.3193453704457449</v>
      </c>
      <c r="E330" s="3">
        <v>0.34809961278415869</v>
      </c>
    </row>
    <row r="331" spans="1:5" x14ac:dyDescent="0.25">
      <c r="A331" t="s">
        <v>396</v>
      </c>
      <c r="B331" t="s">
        <v>364</v>
      </c>
      <c r="C331" s="4">
        <v>0.42923867467524968</v>
      </c>
      <c r="D331" s="4">
        <v>0.26976453588894406</v>
      </c>
      <c r="E331" s="3">
        <v>0.34950160528209684</v>
      </c>
    </row>
    <row r="332" spans="1:5" x14ac:dyDescent="0.25">
      <c r="A332" t="s">
        <v>396</v>
      </c>
      <c r="B332" t="s">
        <v>361</v>
      </c>
      <c r="C332" s="4">
        <v>0.44472161741982158</v>
      </c>
      <c r="D332" s="4">
        <v>0.25574778453296748</v>
      </c>
      <c r="E332" s="3">
        <v>0.35023470097639453</v>
      </c>
    </row>
    <row r="333" spans="1:5" x14ac:dyDescent="0.25">
      <c r="A333" t="s">
        <v>396</v>
      </c>
      <c r="B333" t="s">
        <v>334</v>
      </c>
      <c r="C333" s="4">
        <v>0.36810895028786306</v>
      </c>
      <c r="D333" s="4">
        <v>0.33983400431839789</v>
      </c>
      <c r="E333" s="3">
        <v>0.3539714773031305</v>
      </c>
    </row>
    <row r="334" spans="1:5" x14ac:dyDescent="0.25">
      <c r="A334" t="s">
        <v>396</v>
      </c>
      <c r="B334" t="s">
        <v>316</v>
      </c>
      <c r="C334" s="4">
        <v>0.38011026654865349</v>
      </c>
      <c r="D334" s="4">
        <v>0.32913639134434142</v>
      </c>
      <c r="E334" s="3">
        <v>0.35462332894649745</v>
      </c>
    </row>
    <row r="335" spans="1:5" x14ac:dyDescent="0.25">
      <c r="A335" t="s">
        <v>396</v>
      </c>
      <c r="B335" t="s">
        <v>386</v>
      </c>
      <c r="C335" s="4">
        <v>0.36640753298706763</v>
      </c>
      <c r="D335" s="4">
        <v>0.34345400189558983</v>
      </c>
      <c r="E335" s="3">
        <v>0.35493076744132873</v>
      </c>
    </row>
    <row r="336" spans="1:5" x14ac:dyDescent="0.25">
      <c r="A336" t="s">
        <v>396</v>
      </c>
      <c r="B336" t="s">
        <v>356</v>
      </c>
      <c r="C336" s="4">
        <v>0.38941175124020905</v>
      </c>
      <c r="D336" s="4">
        <v>0.33918169020075128</v>
      </c>
      <c r="E336" s="3">
        <v>0.36429672072048014</v>
      </c>
    </row>
    <row r="337" spans="1:5" x14ac:dyDescent="0.25">
      <c r="A337" t="s">
        <v>396</v>
      </c>
      <c r="B337" t="s">
        <v>303</v>
      </c>
      <c r="C337" s="4">
        <v>0.38806496335407864</v>
      </c>
      <c r="D337" s="4">
        <v>0.34700311951237695</v>
      </c>
      <c r="E337" s="3">
        <v>0.36753404143322776</v>
      </c>
    </row>
    <row r="338" spans="1:5" x14ac:dyDescent="0.25">
      <c r="A338" t="s">
        <v>396</v>
      </c>
      <c r="B338" t="s">
        <v>296</v>
      </c>
      <c r="C338" s="4">
        <v>0.37641337344459203</v>
      </c>
      <c r="D338" s="4">
        <v>0.36909539026095284</v>
      </c>
      <c r="E338" s="3">
        <v>0.37275438185277243</v>
      </c>
    </row>
    <row r="339" spans="1:5" x14ac:dyDescent="0.25">
      <c r="A339" t="s">
        <v>396</v>
      </c>
      <c r="B339" t="s">
        <v>341</v>
      </c>
      <c r="C339" s="4">
        <v>0.37505397477986852</v>
      </c>
      <c r="D339" s="4">
        <v>0.37274071405761455</v>
      </c>
      <c r="E339" s="3">
        <v>0.37389734441874156</v>
      </c>
    </row>
    <row r="340" spans="1:5" x14ac:dyDescent="0.25">
      <c r="A340" t="s">
        <v>396</v>
      </c>
      <c r="B340" t="s">
        <v>299</v>
      </c>
      <c r="C340" s="4">
        <v>0.39048463971887326</v>
      </c>
      <c r="D340" s="4">
        <v>0.36909539026095284</v>
      </c>
      <c r="E340" s="3">
        <v>0.37979001498991305</v>
      </c>
    </row>
    <row r="341" spans="1:5" x14ac:dyDescent="0.25">
      <c r="A341" t="s">
        <v>396</v>
      </c>
      <c r="B341" t="s">
        <v>295</v>
      </c>
      <c r="C341" s="4">
        <v>0.38077842413194685</v>
      </c>
      <c r="D341" s="4">
        <v>0.38232526889995533</v>
      </c>
      <c r="E341" s="3">
        <v>0.38155184651595109</v>
      </c>
    </row>
    <row r="342" spans="1:5" x14ac:dyDescent="0.25">
      <c r="A342" t="s">
        <v>396</v>
      </c>
      <c r="B342" t="s">
        <v>338</v>
      </c>
      <c r="C342" s="4">
        <v>0.38462668769440705</v>
      </c>
      <c r="D342" s="4">
        <v>0.3871652702303427</v>
      </c>
      <c r="E342" s="3">
        <v>0.38589597896237487</v>
      </c>
    </row>
    <row r="343" spans="1:5" x14ac:dyDescent="0.25">
      <c r="A343" t="s">
        <v>396</v>
      </c>
      <c r="B343" t="s">
        <v>339</v>
      </c>
      <c r="C343" s="4">
        <v>0.4349651204395561</v>
      </c>
      <c r="D343" s="4">
        <v>0.34398787575501438</v>
      </c>
      <c r="E343" s="3">
        <v>0.38947649809728524</v>
      </c>
    </row>
    <row r="344" spans="1:5" x14ac:dyDescent="0.25">
      <c r="A344" t="s">
        <v>396</v>
      </c>
      <c r="B344" t="s">
        <v>365</v>
      </c>
      <c r="C344" s="4">
        <v>0.36057057770652662</v>
      </c>
      <c r="D344" s="4">
        <v>0.42170458219458923</v>
      </c>
      <c r="E344" s="3">
        <v>0.39113757995055792</v>
      </c>
    </row>
    <row r="345" spans="1:5" x14ac:dyDescent="0.25">
      <c r="A345" t="s">
        <v>396</v>
      </c>
      <c r="B345" t="s">
        <v>360</v>
      </c>
      <c r="C345" s="4">
        <v>0.4066123295296098</v>
      </c>
      <c r="D345" s="4">
        <v>0.37673528704681958</v>
      </c>
      <c r="E345" s="3">
        <v>0.39167380828821469</v>
      </c>
    </row>
    <row r="346" spans="1:5" x14ac:dyDescent="0.25">
      <c r="A346" t="s">
        <v>396</v>
      </c>
      <c r="B346" t="s">
        <v>283</v>
      </c>
      <c r="C346" s="4">
        <v>0.39980800694969731</v>
      </c>
      <c r="D346" s="4">
        <v>0.38662771534964951</v>
      </c>
      <c r="E346" s="3">
        <v>0.39321786114967339</v>
      </c>
    </row>
    <row r="347" spans="1:5" x14ac:dyDescent="0.25">
      <c r="A347" t="s">
        <v>396</v>
      </c>
      <c r="B347" t="s">
        <v>337</v>
      </c>
      <c r="C347" s="4">
        <v>0.42222389886034839</v>
      </c>
      <c r="D347" s="4">
        <v>0.36553965561568436</v>
      </c>
      <c r="E347" s="3">
        <v>0.39388177723801637</v>
      </c>
    </row>
    <row r="348" spans="1:5" x14ac:dyDescent="0.25">
      <c r="A348" t="s">
        <v>396</v>
      </c>
      <c r="B348" t="s">
        <v>288</v>
      </c>
      <c r="C348" s="4">
        <v>0.40084389010082655</v>
      </c>
      <c r="D348" s="4">
        <v>0.39020095443099545</v>
      </c>
      <c r="E348" s="3">
        <v>0.395522422265911</v>
      </c>
    </row>
    <row r="349" spans="1:5" x14ac:dyDescent="0.25">
      <c r="A349" t="s">
        <v>396</v>
      </c>
      <c r="B349" t="s">
        <v>277</v>
      </c>
      <c r="C349" s="4">
        <v>0.39484854406834724</v>
      </c>
      <c r="D349" s="4">
        <v>0.41242570330413336</v>
      </c>
      <c r="E349" s="3">
        <v>0.40363712368624027</v>
      </c>
    </row>
    <row r="350" spans="1:5" x14ac:dyDescent="0.25">
      <c r="A350" t="s">
        <v>396</v>
      </c>
      <c r="B350" t="s">
        <v>335</v>
      </c>
      <c r="C350" s="4">
        <v>0.4057614591752623</v>
      </c>
      <c r="D350" s="4">
        <v>0.4046571154289999</v>
      </c>
      <c r="E350" s="3">
        <v>0.40520928730213113</v>
      </c>
    </row>
    <row r="351" spans="1:5" x14ac:dyDescent="0.25">
      <c r="A351" t="s">
        <v>396</v>
      </c>
      <c r="B351" t="s">
        <v>318</v>
      </c>
      <c r="C351" s="4">
        <v>0.39203771034587487</v>
      </c>
      <c r="D351" s="4">
        <v>0.41847554707138612</v>
      </c>
      <c r="E351" s="3">
        <v>0.4052566287086305</v>
      </c>
    </row>
    <row r="352" spans="1:5" x14ac:dyDescent="0.25">
      <c r="A352" t="s">
        <v>396</v>
      </c>
      <c r="B352" t="s">
        <v>322</v>
      </c>
      <c r="C352" s="4">
        <v>0.38330837860777223</v>
      </c>
      <c r="D352" s="4">
        <v>0.4402246390273088</v>
      </c>
      <c r="E352" s="3">
        <v>0.41176650881754051</v>
      </c>
    </row>
    <row r="353" spans="1:5" x14ac:dyDescent="0.25">
      <c r="A353" t="s">
        <v>396</v>
      </c>
      <c r="B353" t="s">
        <v>314</v>
      </c>
      <c r="C353" s="4">
        <v>0.43351608346111226</v>
      </c>
      <c r="D353" s="4">
        <v>0.42279472888690667</v>
      </c>
      <c r="E353" s="3">
        <v>0.42815540617400949</v>
      </c>
    </row>
    <row r="354" spans="1:5" x14ac:dyDescent="0.25">
      <c r="A354" t="s">
        <v>396</v>
      </c>
      <c r="B354" t="s">
        <v>345</v>
      </c>
      <c r="C354" s="4">
        <v>0.45183795323532194</v>
      </c>
      <c r="D354" s="4">
        <v>0.40885062711781855</v>
      </c>
      <c r="E354" s="3">
        <v>0.43034429017657028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FENOTIPOS_GWAS_BINOMIAL_DSI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Fernando Silva Aguilar</cp:lastModifiedBy>
  <dcterms:created xsi:type="dcterms:W3CDTF">2026-07-17T12:57:38Z</dcterms:created>
  <dcterms:modified xsi:type="dcterms:W3CDTF">2026-08-12T18:48:00Z</dcterms:modified>
</cp:coreProperties>
</file>