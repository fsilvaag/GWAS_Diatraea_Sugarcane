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dades compartidas\SAM_Diatraea (articulo Socolen)\Frontiers_Paper\3.5.Figures\"/>
    </mc:Choice>
  </mc:AlternateContent>
  <xr:revisionPtr revIDLastSave="0" documentId="8_{3D5436FD-42D2-497A-AC6C-F3FC44758A9A}" xr6:coauthVersionLast="47" xr6:coauthVersionMax="47" xr10:uidLastSave="{00000000-0000-0000-0000-000000000000}"/>
  <bookViews>
    <workbookView xWindow="-96" yWindow="-96" windowWidth="23232" windowHeight="13872" activeTab="1" xr2:uid="{FD34BF0A-41CB-4063-BD6C-1D415A97C091}"/>
  </bookViews>
  <sheets>
    <sheet name="Table S3" sheetId="1" r:id="rId1"/>
    <sheet name="Hoja1" sheetId="2" r:id="rId2"/>
  </sheets>
  <definedNames>
    <definedName name="_xlnm._FilterDatabase" localSheetId="0" hidden="1">'Table S3'!$A$3:$F$134</definedName>
  </definedNames>
  <calcPr calcId="0"/>
</workbook>
</file>

<file path=xl/calcChain.xml><?xml version="1.0" encoding="utf-8"?>
<calcChain xmlns="http://schemas.openxmlformats.org/spreadsheetml/2006/main">
  <c r="A4" i="2" l="1" a="1"/>
  <c r="A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<sst xmlns="http://schemas.openxmlformats.org/spreadsheetml/2006/main" count="797" uniqueCount="182">
  <si>
    <t>Table S3.Functional annotation and subcellular characterization of the evaluated gene group according to Gene Ontology (GO).</t>
  </si>
  <si>
    <t>User Ids</t>
  </si>
  <si>
    <t>Gene Name</t>
  </si>
  <si>
    <t>Category</t>
  </si>
  <si>
    <t>Term</t>
  </si>
  <si>
    <t>Full Term</t>
  </si>
  <si>
    <t>EMB1027</t>
  </si>
  <si>
    <t>Arginyl-tRNA synthetase, class Ic(emb1027)</t>
  </si>
  <si>
    <t>Protein biosynthesis</t>
  </si>
  <si>
    <t xml:space="preserve"> 0648~Protein biosynthesis</t>
  </si>
  <si>
    <t>LFR</t>
  </si>
  <si>
    <t>ARM repeat superfamily protein(LFR)</t>
  </si>
  <si>
    <t>Growth regulation</t>
  </si>
  <si>
    <t xml:space="preserve"> 0341~Growth regulation</t>
  </si>
  <si>
    <t>PMS1</t>
  </si>
  <si>
    <t>DNA mismatch repair protein(PMS1)</t>
  </si>
  <si>
    <t>DNA damage</t>
  </si>
  <si>
    <t xml:space="preserve"> 0227~DNA damage</t>
  </si>
  <si>
    <t>DNA repair</t>
  </si>
  <si>
    <t xml:space="preserve"> 0234~DNA repair</t>
  </si>
  <si>
    <t>F3H</t>
  </si>
  <si>
    <t>flavanone 3-hydroxylase(F3H)</t>
  </si>
  <si>
    <t>Flavonoid biosynthesis</t>
  </si>
  <si>
    <t xml:space="preserve"> 0284~Flavonoid biosynthesis</t>
  </si>
  <si>
    <t>At1g09390</t>
  </si>
  <si>
    <t>GDSL-like Lipase/Acylhydrolase superfamily protein(AT1G09390)</t>
  </si>
  <si>
    <t>Lipid degradation</t>
  </si>
  <si>
    <t xml:space="preserve"> 0442~Lipid degradation</t>
  </si>
  <si>
    <t>Lipid metabolism</t>
  </si>
  <si>
    <t xml:space="preserve"> 0443~Lipid metabolism</t>
  </si>
  <si>
    <t>ESR1</t>
  </si>
  <si>
    <t>Integrase-type DNA-binding superfamily protein(ESR1)</t>
  </si>
  <si>
    <t>Transcription</t>
  </si>
  <si>
    <t xml:space="preserve"> 0804~Transcription</t>
  </si>
  <si>
    <t>Transcription regulation</t>
  </si>
  <si>
    <t xml:space="preserve"> 0805~Transcription regulation</t>
  </si>
  <si>
    <t>Auxin signaling pathway</t>
  </si>
  <si>
    <t xml:space="preserve"> 0927~Auxin signaling pathway</t>
  </si>
  <si>
    <t>Cytokinin signaling pathway</t>
  </si>
  <si>
    <t xml:space="preserve"> 0932~Cytokinin signaling pathway</t>
  </si>
  <si>
    <t>Ethylene signaling pathway</t>
  </si>
  <si>
    <t xml:space="preserve"> 0936~Ethylene signaling pathway</t>
  </si>
  <si>
    <t>K-box region and MADS-box transcription factor family protein(SEP1)</t>
  </si>
  <si>
    <t>Differentiation</t>
  </si>
  <si>
    <t xml:space="preserve"> 0221~Differentiation</t>
  </si>
  <si>
    <t>Flowering</t>
  </si>
  <si>
    <t xml:space="preserve"> 0287~Flowering</t>
  </si>
  <si>
    <t>Photosynthesis</t>
  </si>
  <si>
    <t xml:space="preserve"> 0602~Photosynthesis</t>
  </si>
  <si>
    <t>MBD13</t>
  </si>
  <si>
    <t>methyl-CPG-binding domain protein 13(MBD13)</t>
  </si>
  <si>
    <t>SOG1</t>
  </si>
  <si>
    <t>NAC (No Apical Meristem) domain transcriptional regulator superfamily protein(SOG1)</t>
  </si>
  <si>
    <t>PYM</t>
  </si>
  <si>
    <t>partner of Y14-MAGO(PYM)</t>
  </si>
  <si>
    <t>Cell cycle</t>
  </si>
  <si>
    <t xml:space="preserve"> 0131~Cell cycle</t>
  </si>
  <si>
    <t>Cell division</t>
  </si>
  <si>
    <t xml:space="preserve"> 0132~Cell division</t>
  </si>
  <si>
    <t>DNA replication</t>
  </si>
  <si>
    <t xml:space="preserve"> 0235~DNA replication</t>
  </si>
  <si>
    <t>Mitosis</t>
  </si>
  <si>
    <t xml:space="preserve"> 0498~Mitosis</t>
  </si>
  <si>
    <t>mRNA transport</t>
  </si>
  <si>
    <t xml:space="preserve"> 0509~mRNA transport</t>
  </si>
  <si>
    <t>Plant defense</t>
  </si>
  <si>
    <t xml:space="preserve"> 0611~Plant defense</t>
  </si>
  <si>
    <t>Translation regulation</t>
  </si>
  <si>
    <t xml:space="preserve"> 0810~Translation regulation</t>
  </si>
  <si>
    <t>Transport</t>
  </si>
  <si>
    <t xml:space="preserve"> 0813~Transport</t>
  </si>
  <si>
    <t>Nonsense-mediated mRNA decay</t>
  </si>
  <si>
    <t xml:space="preserve"> 0866~Nonsense-mediated mRNA decay</t>
  </si>
  <si>
    <t>At1g48100</t>
  </si>
  <si>
    <t>Pectin lyase-like superfamily protein(AT1G48100)</t>
  </si>
  <si>
    <t>Cell wall biogenesis/degradation</t>
  </si>
  <si>
    <t xml:space="preserve"> 0961~Cell wall biogenesis/degradation</t>
  </si>
  <si>
    <t xml:space="preserve"> 9998~Cell wall biogenesis/degradation</t>
  </si>
  <si>
    <t>PDF1B</t>
  </si>
  <si>
    <t>peptide deformylase 1B(PDF1B)</t>
  </si>
  <si>
    <t>At1g67900</t>
  </si>
  <si>
    <t>Phototropic-responsive NPH3 family protein(AT1G67900)</t>
  </si>
  <si>
    <t>Ubl conjugation pathway</t>
  </si>
  <si>
    <t xml:space="preserve"> 0833~Ubl conjugation pathway</t>
  </si>
  <si>
    <t>NRPE7</t>
  </si>
  <si>
    <t>RNA polymerase Rpb7-like, N-terminal domain-containing protein(NRPE7)</t>
  </si>
  <si>
    <t>RS2Z32</t>
  </si>
  <si>
    <t>RNA-binding (RRM/RBD/RNP motifs) family protein with retrovirus zinc finger-like domain-containing protein(RS2Z32)</t>
  </si>
  <si>
    <t>mRNA processing</t>
  </si>
  <si>
    <t xml:space="preserve"> 0507~mRNA processing</t>
  </si>
  <si>
    <t>mRNA splicing</t>
  </si>
  <si>
    <t xml:space="preserve"> 0508~mRNA splicing</t>
  </si>
  <si>
    <t>stress enhanced protein 1(SEP1)</t>
  </si>
  <si>
    <t>UPL6</t>
  </si>
  <si>
    <t>ubiquitin protein ligase 6(UPL6)</t>
  </si>
  <si>
    <t>Chloroplast</t>
  </si>
  <si>
    <t xml:space="preserve"> 0150~Chloroplast</t>
  </si>
  <si>
    <t>Mitochondrion</t>
  </si>
  <si>
    <t xml:space="preserve"> 0496~Mitochondrion</t>
  </si>
  <si>
    <t>Plastid</t>
  </si>
  <si>
    <t xml:space="preserve"> 0934~Plastid</t>
  </si>
  <si>
    <t>Nucleus</t>
  </si>
  <si>
    <t xml:space="preserve"> 0539~Nucleus</t>
  </si>
  <si>
    <t>CEP3</t>
  </si>
  <si>
    <t>Cysteine proteinases superfamily protein(CEP3)</t>
  </si>
  <si>
    <t>Apoplast</t>
  </si>
  <si>
    <t xml:space="preserve"> 0052~Apoplast</t>
  </si>
  <si>
    <t>Endoplasmic reticulum</t>
  </si>
  <si>
    <t xml:space="preserve"> 0256~Endoplasmic reticulum</t>
  </si>
  <si>
    <t>Secreted</t>
  </si>
  <si>
    <t xml:space="preserve"> 0964~Secreted</t>
  </si>
  <si>
    <t>ECT2</t>
  </si>
  <si>
    <t>evolutionarily conserved C-terminal region 2(ECT2)</t>
  </si>
  <si>
    <t>Cytoplasm</t>
  </si>
  <si>
    <t xml:space="preserve"> 0963~Cytoplasm</t>
  </si>
  <si>
    <t>FLA2</t>
  </si>
  <si>
    <t>FASCICLIN-like arabinogalactan 2(FLA2)</t>
  </si>
  <si>
    <t>Membrane</t>
  </si>
  <si>
    <t xml:space="preserve"> 0472~Membrane</t>
  </si>
  <si>
    <t>Cell membrane</t>
  </si>
  <si>
    <t xml:space="preserve"> 1003~Cell membrane</t>
  </si>
  <si>
    <t>HERK1</t>
  </si>
  <si>
    <t>hercules receptor kinase 1(HERK1)</t>
  </si>
  <si>
    <t>Photosystem II</t>
  </si>
  <si>
    <t xml:space="preserve"> 0604~Photosystem II</t>
  </si>
  <si>
    <t>Thylakoid</t>
  </si>
  <si>
    <t xml:space="preserve"> 0793~Thylakoid</t>
  </si>
  <si>
    <t>LPD1</t>
  </si>
  <si>
    <t>lipoamide dehydrogenase 1(LPD1)</t>
  </si>
  <si>
    <t>Cell wall</t>
  </si>
  <si>
    <t xml:space="preserve"> 0134~Cell wall</t>
  </si>
  <si>
    <t>DNA-directed RNA polymerase</t>
  </si>
  <si>
    <t xml:space="preserve"> 0240~DNA-directed RNA polymerase</t>
  </si>
  <si>
    <t xml:space="preserve"> 9994~DNA-directed RNA polymerase</t>
  </si>
  <si>
    <t>Spliceosome</t>
  </si>
  <si>
    <t xml:space="preserve"> 0747~Spliceosome</t>
  </si>
  <si>
    <t>Aminoacyl-tRNA synthetase</t>
  </si>
  <si>
    <t xml:space="preserve"> 0030~Aminoacyl-tRNA synthetase</t>
  </si>
  <si>
    <t>Ligase</t>
  </si>
  <si>
    <t xml:space="preserve"> 0436~Ligase</t>
  </si>
  <si>
    <t>Developmental protein</t>
  </si>
  <si>
    <t xml:space="preserve"> 0217~Developmental protein</t>
  </si>
  <si>
    <t xml:space="preserve"> 9996~Developmental protein</t>
  </si>
  <si>
    <t>Hormone</t>
  </si>
  <si>
    <t xml:space="preserve"> 0372~Hormone</t>
  </si>
  <si>
    <t>Hydrolase</t>
  </si>
  <si>
    <t xml:space="preserve"> 0378~Hydrolase</t>
  </si>
  <si>
    <t>Protease</t>
  </si>
  <si>
    <t xml:space="preserve"> 0645~Protease</t>
  </si>
  <si>
    <t>Thiol protease</t>
  </si>
  <si>
    <t xml:space="preserve"> 0788~Thiol protease</t>
  </si>
  <si>
    <t>RNA-binding</t>
  </si>
  <si>
    <t xml:space="preserve"> 0694~RNA-binding</t>
  </si>
  <si>
    <t>Dioxygenase</t>
  </si>
  <si>
    <t xml:space="preserve"> 0223~Dioxygenase</t>
  </si>
  <si>
    <t>Oxidoreductase</t>
  </si>
  <si>
    <t xml:space="preserve"> 0560~Oxidoreductase</t>
  </si>
  <si>
    <t>Kinase</t>
  </si>
  <si>
    <t xml:space="preserve"> 0418~Kinase</t>
  </si>
  <si>
    <t>Receptor</t>
  </si>
  <si>
    <t xml:space="preserve"> 0675~Receptor</t>
  </si>
  <si>
    <t>Serine/threonine-protein kinase</t>
  </si>
  <si>
    <t xml:space="preserve"> 0723~Serine/threonine-protein kinase</t>
  </si>
  <si>
    <t>Transferase</t>
  </si>
  <si>
    <t xml:space="preserve"> 0808~Transferase</t>
  </si>
  <si>
    <t>Activator</t>
  </si>
  <si>
    <t xml:space="preserve"> 0010~Activator</t>
  </si>
  <si>
    <t>DNA-binding</t>
  </si>
  <si>
    <t xml:space="preserve"> 0238~DNA-binding</t>
  </si>
  <si>
    <t>Glycosidase</t>
  </si>
  <si>
    <t xml:space="preserve"> 0326~Glycosidase</t>
  </si>
  <si>
    <t>NEK6</t>
  </si>
  <si>
    <t>serine/threonine-protein kinase NEK5(NEK6)</t>
  </si>
  <si>
    <t>SEP1</t>
  </si>
  <si>
    <t>Gene</t>
  </si>
  <si>
    <t>GO Term Category</t>
  </si>
  <si>
    <t>Biological process</t>
  </si>
  <si>
    <t>Cellular component</t>
  </si>
  <si>
    <t>Molecular function</t>
  </si>
  <si>
    <t>BP</t>
  </si>
  <si>
    <t>CC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</si>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</sst>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17" fontId="0" fillId="0" borderId="0" xfId="0" quotePrefix="1" applyNumberFormat="1"/>
    <xf numFmtId="0" fontId="0" fillId="33" borderId="0" xfId="0" applyFill="1" applyAlignment="1">
      <alignment vertical="center"/>
    </xf>
    <xf numFmtId="0" fontId="0" fillId="33" borderId="0" xfId="0" applyFill="1"/>
    <xf numFmtId="0" fontId="0" fillId="33" borderId="0" xfId="0" applyFill="1" applyAlignment="1">
      <alignment wrapText="1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 wrapText="1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4897-5017-42A9-A2AF-DBACA954BDDD}">
  <dimension ref="A1:F134"/>
  <sheetViews>
    <sheetView topLeftCell="A67" zoomScaleNormal="100" workbookViewId="0">
      <selection activeCell="A74" sqref="A74:E74"/>
    </sheetView>
  </sheetViews>
  <sheetFormatPr baseColWidth="10" defaultRowHeight="14.4" x14ac:dyDescent="0.3"/>
  <cols>
    <col min="1" max="1" width="14.88671875" customWidth="1"/>
    <col min="2" max="2" width="16.5546875" customWidth="1"/>
    <col min="3" max="3" width="21" bestFit="1" customWidth="1"/>
    <col min="4" max="4" width="11.109375" bestFit="1" customWidth="1"/>
    <col min="5" max="5" width="29.88671875" bestFit="1" customWidth="1"/>
    <col min="6" max="6" width="35.21875" bestFit="1" customWidth="1"/>
  </cols>
  <sheetData>
    <row r="1" spans="1:6" x14ac:dyDescent="0.3">
      <c r="A1" t="s">
        <v>0</v>
      </c>
    </row>
    <row r="3" spans="1:6" x14ac:dyDescent="0.3">
      <c r="A3" s="1" t="s">
        <v>1</v>
      </c>
      <c r="B3" s="1" t="s">
        <v>2</v>
      </c>
      <c r="C3" s="1" t="s">
        <v>3</v>
      </c>
      <c r="D3" s="1" t="s">
        <v>3</v>
      </c>
      <c r="E3" s="1" t="s">
        <v>4</v>
      </c>
      <c r="F3" s="1" t="s">
        <v>5</v>
      </c>
    </row>
    <row r="4" spans="1:6" x14ac:dyDescent="0.3">
      <c r="A4" t="s">
        <v>24</v>
      </c>
      <c r="B4" t="s">
        <v>25</v>
      </c>
      <c r="C4" t="s">
        <v>176</v>
      </c>
      <c r="D4" t="s">
        <v>179</v>
      </c>
      <c r="E4" t="s">
        <v>26</v>
      </c>
      <c r="F4" t="s">
        <v>27</v>
      </c>
    </row>
    <row r="5" spans="1:6" x14ac:dyDescent="0.3">
      <c r="A5" t="s">
        <v>24</v>
      </c>
      <c r="B5" t="s">
        <v>25</v>
      </c>
      <c r="C5" t="s">
        <v>176</v>
      </c>
      <c r="D5" t="s">
        <v>179</v>
      </c>
      <c r="E5" t="s">
        <v>28</v>
      </c>
      <c r="F5" t="s">
        <v>29</v>
      </c>
    </row>
    <row r="6" spans="1:6" x14ac:dyDescent="0.3">
      <c r="A6" t="s">
        <v>73</v>
      </c>
      <c r="B6" t="s">
        <v>74</v>
      </c>
      <c r="C6" t="s">
        <v>176</v>
      </c>
      <c r="D6" t="s">
        <v>179</v>
      </c>
      <c r="E6" t="s">
        <v>75</v>
      </c>
      <c r="F6" t="s">
        <v>76</v>
      </c>
    </row>
    <row r="7" spans="1:6" x14ac:dyDescent="0.3">
      <c r="A7" t="s">
        <v>73</v>
      </c>
      <c r="B7" t="s">
        <v>74</v>
      </c>
      <c r="C7" t="s">
        <v>176</v>
      </c>
      <c r="D7" t="s">
        <v>179</v>
      </c>
      <c r="E7" t="s">
        <v>75</v>
      </c>
      <c r="F7" t="s">
        <v>77</v>
      </c>
    </row>
    <row r="8" spans="1:6" x14ac:dyDescent="0.3">
      <c r="A8" t="s">
        <v>80</v>
      </c>
      <c r="B8" t="s">
        <v>81</v>
      </c>
      <c r="C8" t="s">
        <v>176</v>
      </c>
      <c r="D8" t="s">
        <v>179</v>
      </c>
      <c r="E8" t="s">
        <v>82</v>
      </c>
      <c r="F8" t="s">
        <v>83</v>
      </c>
    </row>
    <row r="9" spans="1:6" x14ac:dyDescent="0.3">
      <c r="A9" t="s">
        <v>6</v>
      </c>
      <c r="B9" t="s">
        <v>7</v>
      </c>
      <c r="C9" t="s">
        <v>176</v>
      </c>
      <c r="D9" t="s">
        <v>179</v>
      </c>
      <c r="E9" t="s">
        <v>8</v>
      </c>
      <c r="F9" t="s">
        <v>9</v>
      </c>
    </row>
    <row r="10" spans="1:6" x14ac:dyDescent="0.3">
      <c r="A10" t="s">
        <v>30</v>
      </c>
      <c r="B10" t="s">
        <v>31</v>
      </c>
      <c r="C10" t="s">
        <v>176</v>
      </c>
      <c r="D10" t="s">
        <v>179</v>
      </c>
      <c r="E10" t="s">
        <v>36</v>
      </c>
      <c r="F10" t="s">
        <v>37</v>
      </c>
    </row>
    <row r="11" spans="1:6" x14ac:dyDescent="0.3">
      <c r="A11" t="s">
        <v>30</v>
      </c>
      <c r="B11" t="s">
        <v>31</v>
      </c>
      <c r="C11" t="s">
        <v>176</v>
      </c>
      <c r="D11" t="s">
        <v>179</v>
      </c>
      <c r="E11" t="s">
        <v>38</v>
      </c>
      <c r="F11" t="s">
        <v>39</v>
      </c>
    </row>
    <row r="12" spans="1:6" x14ac:dyDescent="0.3">
      <c r="A12" t="s">
        <v>30</v>
      </c>
      <c r="B12" t="s">
        <v>31</v>
      </c>
      <c r="C12" t="s">
        <v>176</v>
      </c>
      <c r="D12" t="s">
        <v>179</v>
      </c>
      <c r="E12" t="s">
        <v>40</v>
      </c>
      <c r="F12" t="s">
        <v>41</v>
      </c>
    </row>
    <row r="13" spans="1:6" x14ac:dyDescent="0.3">
      <c r="A13" t="s">
        <v>30</v>
      </c>
      <c r="B13" t="s">
        <v>31</v>
      </c>
      <c r="C13" t="s">
        <v>176</v>
      </c>
      <c r="D13" t="s">
        <v>179</v>
      </c>
      <c r="E13" t="s">
        <v>32</v>
      </c>
      <c r="F13" t="s">
        <v>33</v>
      </c>
    </row>
    <row r="14" spans="1:6" x14ac:dyDescent="0.3">
      <c r="A14" t="s">
        <v>30</v>
      </c>
      <c r="B14" t="s">
        <v>31</v>
      </c>
      <c r="C14" t="s">
        <v>176</v>
      </c>
      <c r="D14" t="s">
        <v>179</v>
      </c>
      <c r="E14" t="s">
        <v>34</v>
      </c>
      <c r="F14" t="s">
        <v>35</v>
      </c>
    </row>
    <row r="15" spans="1:6" x14ac:dyDescent="0.3">
      <c r="A15" t="s">
        <v>20</v>
      </c>
      <c r="B15" t="s">
        <v>21</v>
      </c>
      <c r="C15" t="s">
        <v>176</v>
      </c>
      <c r="D15" t="s">
        <v>179</v>
      </c>
      <c r="E15" t="s">
        <v>22</v>
      </c>
      <c r="F15" t="s">
        <v>23</v>
      </c>
    </row>
    <row r="16" spans="1:6" x14ac:dyDescent="0.3">
      <c r="A16" t="s">
        <v>10</v>
      </c>
      <c r="B16" t="s">
        <v>11</v>
      </c>
      <c r="C16" t="s">
        <v>176</v>
      </c>
      <c r="D16" t="s">
        <v>179</v>
      </c>
      <c r="E16" t="s">
        <v>12</v>
      </c>
      <c r="F16" t="s">
        <v>13</v>
      </c>
    </row>
    <row r="17" spans="1:6" x14ac:dyDescent="0.3">
      <c r="A17" t="s">
        <v>49</v>
      </c>
      <c r="B17" t="s">
        <v>50</v>
      </c>
      <c r="C17" t="s">
        <v>176</v>
      </c>
      <c r="D17" t="s">
        <v>179</v>
      </c>
      <c r="E17" t="s">
        <v>32</v>
      </c>
      <c r="F17" t="s">
        <v>33</v>
      </c>
    </row>
    <row r="18" spans="1:6" x14ac:dyDescent="0.3">
      <c r="A18" t="s">
        <v>49</v>
      </c>
      <c r="B18" t="s">
        <v>50</v>
      </c>
      <c r="C18" t="s">
        <v>176</v>
      </c>
      <c r="D18" t="s">
        <v>179</v>
      </c>
      <c r="E18" t="s">
        <v>34</v>
      </c>
      <c r="F18" t="s">
        <v>35</v>
      </c>
    </row>
    <row r="19" spans="1:6" x14ac:dyDescent="0.3">
      <c r="A19" t="s">
        <v>84</v>
      </c>
      <c r="B19" t="s">
        <v>85</v>
      </c>
      <c r="C19" t="s">
        <v>176</v>
      </c>
      <c r="D19" t="s">
        <v>179</v>
      </c>
      <c r="E19" t="s">
        <v>32</v>
      </c>
      <c r="F19" t="s">
        <v>33</v>
      </c>
    </row>
    <row r="20" spans="1:6" x14ac:dyDescent="0.3">
      <c r="A20" t="s">
        <v>78</v>
      </c>
      <c r="B20" t="s">
        <v>79</v>
      </c>
      <c r="C20" t="s">
        <v>176</v>
      </c>
      <c r="D20" t="s">
        <v>179</v>
      </c>
      <c r="E20" t="s">
        <v>8</v>
      </c>
      <c r="F20" t="s">
        <v>9</v>
      </c>
    </row>
    <row r="21" spans="1:6" x14ac:dyDescent="0.3">
      <c r="A21" t="s">
        <v>14</v>
      </c>
      <c r="B21" t="s">
        <v>15</v>
      </c>
      <c r="C21" t="s">
        <v>176</v>
      </c>
      <c r="D21" t="s">
        <v>179</v>
      </c>
      <c r="E21" t="s">
        <v>16</v>
      </c>
      <c r="F21" t="s">
        <v>17</v>
      </c>
    </row>
    <row r="22" spans="1:6" x14ac:dyDescent="0.3">
      <c r="A22" t="s">
        <v>14</v>
      </c>
      <c r="B22" t="s">
        <v>15</v>
      </c>
      <c r="C22" t="s">
        <v>176</v>
      </c>
      <c r="D22" t="s">
        <v>179</v>
      </c>
      <c r="E22" t="s">
        <v>18</v>
      </c>
      <c r="F22" t="s">
        <v>19</v>
      </c>
    </row>
    <row r="23" spans="1:6" x14ac:dyDescent="0.3">
      <c r="A23" t="s">
        <v>53</v>
      </c>
      <c r="B23" t="s">
        <v>54</v>
      </c>
      <c r="C23" t="s">
        <v>176</v>
      </c>
      <c r="D23" t="s">
        <v>179</v>
      </c>
      <c r="E23" t="s">
        <v>55</v>
      </c>
      <c r="F23" t="s">
        <v>56</v>
      </c>
    </row>
    <row r="24" spans="1:6" x14ac:dyDescent="0.3">
      <c r="A24" t="s">
        <v>53</v>
      </c>
      <c r="B24" t="s">
        <v>54</v>
      </c>
      <c r="C24" t="s">
        <v>176</v>
      </c>
      <c r="D24" t="s">
        <v>179</v>
      </c>
      <c r="E24" t="s">
        <v>57</v>
      </c>
      <c r="F24" t="s">
        <v>58</v>
      </c>
    </row>
    <row r="25" spans="1:6" x14ac:dyDescent="0.3">
      <c r="A25" t="s">
        <v>53</v>
      </c>
      <c r="B25" t="s">
        <v>54</v>
      </c>
      <c r="C25" t="s">
        <v>176</v>
      </c>
      <c r="D25" t="s">
        <v>179</v>
      </c>
      <c r="E25" t="s">
        <v>59</v>
      </c>
      <c r="F25" t="s">
        <v>60</v>
      </c>
    </row>
    <row r="26" spans="1:6" x14ac:dyDescent="0.3">
      <c r="A26" t="s">
        <v>53</v>
      </c>
      <c r="B26" t="s">
        <v>54</v>
      </c>
      <c r="C26" t="s">
        <v>176</v>
      </c>
      <c r="D26" t="s">
        <v>179</v>
      </c>
      <c r="E26" t="s">
        <v>61</v>
      </c>
      <c r="F26" t="s">
        <v>62</v>
      </c>
    </row>
    <row r="27" spans="1:6" x14ac:dyDescent="0.3">
      <c r="A27" t="s">
        <v>53</v>
      </c>
      <c r="B27" t="s">
        <v>54</v>
      </c>
      <c r="C27" t="s">
        <v>176</v>
      </c>
      <c r="D27" t="s">
        <v>179</v>
      </c>
      <c r="E27" t="s">
        <v>63</v>
      </c>
      <c r="F27" t="s">
        <v>64</v>
      </c>
    </row>
    <row r="28" spans="1:6" x14ac:dyDescent="0.3">
      <c r="A28" t="s">
        <v>53</v>
      </c>
      <c r="B28" t="s">
        <v>54</v>
      </c>
      <c r="C28" t="s">
        <v>176</v>
      </c>
      <c r="D28" t="s">
        <v>179</v>
      </c>
      <c r="E28" t="s">
        <v>71</v>
      </c>
      <c r="F28" t="s">
        <v>72</v>
      </c>
    </row>
    <row r="29" spans="1:6" x14ac:dyDescent="0.3">
      <c r="A29" t="s">
        <v>53</v>
      </c>
      <c r="B29" t="s">
        <v>54</v>
      </c>
      <c r="C29" t="s">
        <v>176</v>
      </c>
      <c r="D29" t="s">
        <v>179</v>
      </c>
      <c r="E29" t="s">
        <v>65</v>
      </c>
      <c r="F29" t="s">
        <v>66</v>
      </c>
    </row>
    <row r="30" spans="1:6" x14ac:dyDescent="0.3">
      <c r="A30" t="s">
        <v>53</v>
      </c>
      <c r="B30" t="s">
        <v>54</v>
      </c>
      <c r="C30" t="s">
        <v>176</v>
      </c>
      <c r="D30" t="s">
        <v>179</v>
      </c>
      <c r="E30" t="s">
        <v>67</v>
      </c>
      <c r="F30" t="s">
        <v>68</v>
      </c>
    </row>
    <row r="31" spans="1:6" x14ac:dyDescent="0.3">
      <c r="A31" t="s">
        <v>53</v>
      </c>
      <c r="B31" t="s">
        <v>54</v>
      </c>
      <c r="C31" t="s">
        <v>176</v>
      </c>
      <c r="D31" t="s">
        <v>179</v>
      </c>
      <c r="E31" t="s">
        <v>69</v>
      </c>
      <c r="F31" t="s">
        <v>70</v>
      </c>
    </row>
    <row r="32" spans="1:6" x14ac:dyDescent="0.3">
      <c r="A32" t="s">
        <v>86</v>
      </c>
      <c r="B32" t="s">
        <v>87</v>
      </c>
      <c r="C32" t="s">
        <v>176</v>
      </c>
      <c r="D32" t="s">
        <v>179</v>
      </c>
      <c r="E32" t="s">
        <v>88</v>
      </c>
      <c r="F32" t="s">
        <v>89</v>
      </c>
    </row>
    <row r="33" spans="1:6" x14ac:dyDescent="0.3">
      <c r="A33" t="s">
        <v>86</v>
      </c>
      <c r="B33" t="s">
        <v>87</v>
      </c>
      <c r="C33" t="s">
        <v>176</v>
      </c>
      <c r="D33" t="s">
        <v>179</v>
      </c>
      <c r="E33" t="s">
        <v>90</v>
      </c>
      <c r="F33" t="s">
        <v>91</v>
      </c>
    </row>
    <row r="34" spans="1:6" x14ac:dyDescent="0.3">
      <c r="A34" s="2" t="s">
        <v>173</v>
      </c>
      <c r="B34" t="s">
        <v>92</v>
      </c>
      <c r="C34" t="s">
        <v>176</v>
      </c>
      <c r="D34" t="s">
        <v>179</v>
      </c>
      <c r="E34" t="s">
        <v>43</v>
      </c>
      <c r="F34" t="s">
        <v>44</v>
      </c>
    </row>
    <row r="35" spans="1:6" x14ac:dyDescent="0.3">
      <c r="A35" s="2" t="s">
        <v>173</v>
      </c>
      <c r="B35" t="s">
        <v>42</v>
      </c>
      <c r="C35" t="s">
        <v>176</v>
      </c>
      <c r="D35" t="s">
        <v>179</v>
      </c>
      <c r="E35" t="s">
        <v>43</v>
      </c>
      <c r="F35" t="s">
        <v>44</v>
      </c>
    </row>
    <row r="36" spans="1:6" x14ac:dyDescent="0.3">
      <c r="A36" s="2" t="s">
        <v>173</v>
      </c>
      <c r="B36" t="s">
        <v>92</v>
      </c>
      <c r="C36" t="s">
        <v>176</v>
      </c>
      <c r="D36" t="s">
        <v>179</v>
      </c>
      <c r="E36" t="s">
        <v>45</v>
      </c>
      <c r="F36" t="s">
        <v>46</v>
      </c>
    </row>
    <row r="37" spans="1:6" x14ac:dyDescent="0.3">
      <c r="A37" s="2" t="s">
        <v>173</v>
      </c>
      <c r="B37" t="s">
        <v>42</v>
      </c>
      <c r="C37" t="s">
        <v>176</v>
      </c>
      <c r="D37" t="s">
        <v>179</v>
      </c>
      <c r="E37" t="s">
        <v>45</v>
      </c>
      <c r="F37" t="s">
        <v>46</v>
      </c>
    </row>
    <row r="38" spans="1:6" x14ac:dyDescent="0.3">
      <c r="A38" s="2" t="s">
        <v>173</v>
      </c>
      <c r="B38" t="s">
        <v>92</v>
      </c>
      <c r="C38" t="s">
        <v>176</v>
      </c>
      <c r="D38" t="s">
        <v>179</v>
      </c>
      <c r="E38" t="s">
        <v>47</v>
      </c>
      <c r="F38" t="s">
        <v>48</v>
      </c>
    </row>
    <row r="39" spans="1:6" x14ac:dyDescent="0.3">
      <c r="A39" s="2" t="s">
        <v>173</v>
      </c>
      <c r="B39" t="s">
        <v>42</v>
      </c>
      <c r="C39" t="s">
        <v>176</v>
      </c>
      <c r="D39" t="s">
        <v>179</v>
      </c>
      <c r="E39" t="s">
        <v>47</v>
      </c>
      <c r="F39" t="s">
        <v>48</v>
      </c>
    </row>
    <row r="40" spans="1:6" x14ac:dyDescent="0.3">
      <c r="A40" s="2" t="s">
        <v>173</v>
      </c>
      <c r="B40" t="s">
        <v>92</v>
      </c>
      <c r="C40" t="s">
        <v>176</v>
      </c>
      <c r="D40" t="s">
        <v>179</v>
      </c>
      <c r="E40" t="s">
        <v>32</v>
      </c>
      <c r="F40" t="s">
        <v>33</v>
      </c>
    </row>
    <row r="41" spans="1:6" x14ac:dyDescent="0.3">
      <c r="A41" s="2" t="s">
        <v>173</v>
      </c>
      <c r="B41" t="s">
        <v>42</v>
      </c>
      <c r="C41" t="s">
        <v>176</v>
      </c>
      <c r="D41" t="s">
        <v>179</v>
      </c>
      <c r="E41" t="s">
        <v>32</v>
      </c>
      <c r="F41" t="s">
        <v>33</v>
      </c>
    </row>
    <row r="42" spans="1:6" x14ac:dyDescent="0.3">
      <c r="A42" s="2" t="s">
        <v>173</v>
      </c>
      <c r="B42" t="s">
        <v>92</v>
      </c>
      <c r="C42" t="s">
        <v>176</v>
      </c>
      <c r="D42" t="s">
        <v>179</v>
      </c>
      <c r="E42" t="s">
        <v>34</v>
      </c>
      <c r="F42" t="s">
        <v>35</v>
      </c>
    </row>
    <row r="43" spans="1:6" x14ac:dyDescent="0.3">
      <c r="A43" s="2" t="s">
        <v>173</v>
      </c>
      <c r="B43" t="s">
        <v>42</v>
      </c>
      <c r="C43" t="s">
        <v>176</v>
      </c>
      <c r="D43" t="s">
        <v>179</v>
      </c>
      <c r="E43" t="s">
        <v>34</v>
      </c>
      <c r="F43" t="s">
        <v>35</v>
      </c>
    </row>
    <row r="44" spans="1:6" x14ac:dyDescent="0.3">
      <c r="A44" t="s">
        <v>51</v>
      </c>
      <c r="B44" t="s">
        <v>52</v>
      </c>
      <c r="C44" t="s">
        <v>176</v>
      </c>
      <c r="D44" t="s">
        <v>179</v>
      </c>
      <c r="E44" t="s">
        <v>32</v>
      </c>
      <c r="F44" t="s">
        <v>33</v>
      </c>
    </row>
    <row r="45" spans="1:6" x14ac:dyDescent="0.3">
      <c r="A45" t="s">
        <v>51</v>
      </c>
      <c r="B45" t="s">
        <v>52</v>
      </c>
      <c r="C45" t="s">
        <v>176</v>
      </c>
      <c r="D45" t="s">
        <v>179</v>
      </c>
      <c r="E45" t="s">
        <v>34</v>
      </c>
      <c r="F45" t="s">
        <v>35</v>
      </c>
    </row>
    <row r="46" spans="1:6" x14ac:dyDescent="0.3">
      <c r="A46" t="s">
        <v>93</v>
      </c>
      <c r="B46" t="s">
        <v>94</v>
      </c>
      <c r="C46" t="s">
        <v>176</v>
      </c>
      <c r="D46" t="s">
        <v>179</v>
      </c>
      <c r="E46" t="s">
        <v>82</v>
      </c>
      <c r="F46" t="s">
        <v>83</v>
      </c>
    </row>
    <row r="47" spans="1:6" x14ac:dyDescent="0.3">
      <c r="A47" t="s">
        <v>24</v>
      </c>
      <c r="B47" t="s">
        <v>25</v>
      </c>
      <c r="C47" t="s">
        <v>177</v>
      </c>
      <c r="D47" t="s">
        <v>180</v>
      </c>
      <c r="E47" t="s">
        <v>109</v>
      </c>
      <c r="F47" t="s">
        <v>110</v>
      </c>
    </row>
    <row r="48" spans="1:6" x14ac:dyDescent="0.3">
      <c r="A48" t="s">
        <v>73</v>
      </c>
      <c r="B48" t="s">
        <v>74</v>
      </c>
      <c r="C48" t="s">
        <v>177</v>
      </c>
      <c r="D48" t="s">
        <v>180</v>
      </c>
      <c r="E48" t="s">
        <v>129</v>
      </c>
      <c r="F48" t="s">
        <v>130</v>
      </c>
    </row>
    <row r="49" spans="1:6" x14ac:dyDescent="0.3">
      <c r="A49" t="s">
        <v>73</v>
      </c>
      <c r="B49" t="s">
        <v>74</v>
      </c>
      <c r="C49" t="s">
        <v>177</v>
      </c>
      <c r="D49" t="s">
        <v>180</v>
      </c>
      <c r="E49" t="s">
        <v>109</v>
      </c>
      <c r="F49" t="s">
        <v>110</v>
      </c>
    </row>
    <row r="50" spans="1:6" x14ac:dyDescent="0.3">
      <c r="A50" t="s">
        <v>103</v>
      </c>
      <c r="B50" t="s">
        <v>104</v>
      </c>
      <c r="C50" t="s">
        <v>177</v>
      </c>
      <c r="D50" t="s">
        <v>180</v>
      </c>
      <c r="E50" t="s">
        <v>105</v>
      </c>
      <c r="F50" t="s">
        <v>106</v>
      </c>
    </row>
    <row r="51" spans="1:6" x14ac:dyDescent="0.3">
      <c r="A51" t="s">
        <v>103</v>
      </c>
      <c r="B51" t="s">
        <v>104</v>
      </c>
      <c r="C51" t="s">
        <v>177</v>
      </c>
      <c r="D51" t="s">
        <v>180</v>
      </c>
      <c r="E51" t="s">
        <v>107</v>
      </c>
      <c r="F51" t="s">
        <v>108</v>
      </c>
    </row>
    <row r="52" spans="1:6" x14ac:dyDescent="0.3">
      <c r="A52" t="s">
        <v>103</v>
      </c>
      <c r="B52" t="s">
        <v>104</v>
      </c>
      <c r="C52" t="s">
        <v>177</v>
      </c>
      <c r="D52" t="s">
        <v>180</v>
      </c>
      <c r="E52" t="s">
        <v>109</v>
      </c>
      <c r="F52" t="s">
        <v>110</v>
      </c>
    </row>
    <row r="53" spans="1:6" x14ac:dyDescent="0.3">
      <c r="A53" t="s">
        <v>111</v>
      </c>
      <c r="B53" t="s">
        <v>112</v>
      </c>
      <c r="C53" t="s">
        <v>177</v>
      </c>
      <c r="D53" t="s">
        <v>180</v>
      </c>
      <c r="E53" t="s">
        <v>113</v>
      </c>
      <c r="F53" t="s">
        <v>114</v>
      </c>
    </row>
    <row r="54" spans="1:6" x14ac:dyDescent="0.3">
      <c r="A54" t="s">
        <v>111</v>
      </c>
      <c r="B54" t="s">
        <v>112</v>
      </c>
      <c r="C54" t="s">
        <v>177</v>
      </c>
      <c r="D54" t="s">
        <v>180</v>
      </c>
      <c r="E54" t="s">
        <v>101</v>
      </c>
      <c r="F54" t="s">
        <v>102</v>
      </c>
    </row>
    <row r="55" spans="1:6" x14ac:dyDescent="0.3">
      <c r="A55" t="s">
        <v>6</v>
      </c>
      <c r="B55" t="s">
        <v>7</v>
      </c>
      <c r="C55" t="s">
        <v>177</v>
      </c>
      <c r="D55" t="s">
        <v>180</v>
      </c>
      <c r="E55" t="s">
        <v>95</v>
      </c>
      <c r="F55" t="s">
        <v>96</v>
      </c>
    </row>
    <row r="56" spans="1:6" x14ac:dyDescent="0.3">
      <c r="A56" t="s">
        <v>6</v>
      </c>
      <c r="B56" t="s">
        <v>7</v>
      </c>
      <c r="C56" t="s">
        <v>177</v>
      </c>
      <c r="D56" t="s">
        <v>180</v>
      </c>
      <c r="E56" t="s">
        <v>97</v>
      </c>
      <c r="F56" t="s">
        <v>98</v>
      </c>
    </row>
    <row r="57" spans="1:6" x14ac:dyDescent="0.3">
      <c r="A57" t="s">
        <v>6</v>
      </c>
      <c r="B57" t="s">
        <v>7</v>
      </c>
      <c r="C57" t="s">
        <v>177</v>
      </c>
      <c r="D57" t="s">
        <v>180</v>
      </c>
      <c r="E57" t="s">
        <v>99</v>
      </c>
      <c r="F57" t="s">
        <v>100</v>
      </c>
    </row>
    <row r="58" spans="1:6" x14ac:dyDescent="0.3">
      <c r="A58" t="s">
        <v>30</v>
      </c>
      <c r="B58" t="s">
        <v>31</v>
      </c>
      <c r="C58" t="s">
        <v>177</v>
      </c>
      <c r="D58" t="s">
        <v>180</v>
      </c>
      <c r="E58" t="s">
        <v>101</v>
      </c>
      <c r="F58" t="s">
        <v>102</v>
      </c>
    </row>
    <row r="59" spans="1:6" x14ac:dyDescent="0.3">
      <c r="A59" t="s">
        <v>115</v>
      </c>
      <c r="B59" t="s">
        <v>116</v>
      </c>
      <c r="C59" t="s">
        <v>177</v>
      </c>
      <c r="D59" t="s">
        <v>180</v>
      </c>
      <c r="E59" t="s">
        <v>119</v>
      </c>
      <c r="F59" t="s">
        <v>120</v>
      </c>
    </row>
    <row r="60" spans="1:6" x14ac:dyDescent="0.3">
      <c r="A60" t="s">
        <v>115</v>
      </c>
      <c r="B60" t="s">
        <v>116</v>
      </c>
      <c r="C60" t="s">
        <v>177</v>
      </c>
      <c r="D60" t="s">
        <v>180</v>
      </c>
      <c r="E60" t="s">
        <v>117</v>
      </c>
      <c r="F60" t="s">
        <v>118</v>
      </c>
    </row>
    <row r="61" spans="1:6" x14ac:dyDescent="0.3">
      <c r="A61" t="s">
        <v>121</v>
      </c>
      <c r="B61" t="s">
        <v>122</v>
      </c>
      <c r="C61" t="s">
        <v>177</v>
      </c>
      <c r="D61" t="s">
        <v>180</v>
      </c>
      <c r="E61" t="s">
        <v>119</v>
      </c>
      <c r="F61" t="s">
        <v>120</v>
      </c>
    </row>
    <row r="62" spans="1:6" x14ac:dyDescent="0.3">
      <c r="A62" t="s">
        <v>121</v>
      </c>
      <c r="B62" t="s">
        <v>122</v>
      </c>
      <c r="C62" t="s">
        <v>177</v>
      </c>
      <c r="D62" t="s">
        <v>180</v>
      </c>
      <c r="E62" t="s">
        <v>117</v>
      </c>
      <c r="F62" t="s">
        <v>118</v>
      </c>
    </row>
    <row r="63" spans="1:6" x14ac:dyDescent="0.3">
      <c r="A63" t="s">
        <v>10</v>
      </c>
      <c r="B63" t="s">
        <v>11</v>
      </c>
      <c r="C63" t="s">
        <v>177</v>
      </c>
      <c r="D63" t="s">
        <v>180</v>
      </c>
      <c r="E63" t="s">
        <v>101</v>
      </c>
      <c r="F63" t="s">
        <v>102</v>
      </c>
    </row>
    <row r="64" spans="1:6" x14ac:dyDescent="0.3">
      <c r="A64" t="s">
        <v>127</v>
      </c>
      <c r="B64" t="s">
        <v>128</v>
      </c>
      <c r="C64" t="s">
        <v>177</v>
      </c>
      <c r="D64" t="s">
        <v>180</v>
      </c>
      <c r="E64" t="s">
        <v>95</v>
      </c>
      <c r="F64" t="s">
        <v>96</v>
      </c>
    </row>
    <row r="65" spans="1:6" x14ac:dyDescent="0.3">
      <c r="A65" t="s">
        <v>127</v>
      </c>
      <c r="B65" t="s">
        <v>128</v>
      </c>
      <c r="C65" t="s">
        <v>177</v>
      </c>
      <c r="D65" t="s">
        <v>180</v>
      </c>
      <c r="E65" t="s">
        <v>97</v>
      </c>
      <c r="F65" t="s">
        <v>98</v>
      </c>
    </row>
    <row r="66" spans="1:6" x14ac:dyDescent="0.3">
      <c r="A66" t="s">
        <v>127</v>
      </c>
      <c r="B66" t="s">
        <v>128</v>
      </c>
      <c r="C66" t="s">
        <v>177</v>
      </c>
      <c r="D66" t="s">
        <v>180</v>
      </c>
      <c r="E66" t="s">
        <v>99</v>
      </c>
      <c r="F66" t="s">
        <v>100</v>
      </c>
    </row>
    <row r="67" spans="1:6" x14ac:dyDescent="0.3">
      <c r="A67" t="s">
        <v>49</v>
      </c>
      <c r="B67" t="s">
        <v>50</v>
      </c>
      <c r="C67" t="s">
        <v>177</v>
      </c>
      <c r="D67" t="s">
        <v>180</v>
      </c>
      <c r="E67" t="s">
        <v>101</v>
      </c>
      <c r="F67" t="s">
        <v>102</v>
      </c>
    </row>
    <row r="68" spans="1:6" x14ac:dyDescent="0.3">
      <c r="A68" t="s">
        <v>84</v>
      </c>
      <c r="B68" t="s">
        <v>85</v>
      </c>
      <c r="C68" t="s">
        <v>177</v>
      </c>
      <c r="D68" t="s">
        <v>180</v>
      </c>
      <c r="E68" t="s">
        <v>131</v>
      </c>
      <c r="F68" t="s">
        <v>132</v>
      </c>
    </row>
    <row r="69" spans="1:6" x14ac:dyDescent="0.3">
      <c r="A69" t="s">
        <v>84</v>
      </c>
      <c r="B69" t="s">
        <v>85</v>
      </c>
      <c r="C69" t="s">
        <v>177</v>
      </c>
      <c r="D69" t="s">
        <v>180</v>
      </c>
      <c r="E69" t="s">
        <v>131</v>
      </c>
      <c r="F69" t="s">
        <v>133</v>
      </c>
    </row>
    <row r="70" spans="1:6" x14ac:dyDescent="0.3">
      <c r="A70" t="s">
        <v>84</v>
      </c>
      <c r="B70" t="s">
        <v>85</v>
      </c>
      <c r="C70" t="s">
        <v>177</v>
      </c>
      <c r="D70" t="s">
        <v>180</v>
      </c>
      <c r="E70" t="s">
        <v>101</v>
      </c>
      <c r="F70" t="s">
        <v>102</v>
      </c>
    </row>
    <row r="71" spans="1:6" x14ac:dyDescent="0.3">
      <c r="A71" t="s">
        <v>78</v>
      </c>
      <c r="B71" t="s">
        <v>79</v>
      </c>
      <c r="C71" t="s">
        <v>177</v>
      </c>
      <c r="D71" t="s">
        <v>180</v>
      </c>
      <c r="E71" t="s">
        <v>95</v>
      </c>
      <c r="F71" t="s">
        <v>96</v>
      </c>
    </row>
    <row r="72" spans="1:6" x14ac:dyDescent="0.3">
      <c r="A72" t="s">
        <v>78</v>
      </c>
      <c r="B72" t="s">
        <v>79</v>
      </c>
      <c r="C72" t="s">
        <v>177</v>
      </c>
      <c r="D72" t="s">
        <v>180</v>
      </c>
      <c r="E72" t="s">
        <v>97</v>
      </c>
      <c r="F72" t="s">
        <v>98</v>
      </c>
    </row>
    <row r="73" spans="1:6" x14ac:dyDescent="0.3">
      <c r="A73" t="s">
        <v>78</v>
      </c>
      <c r="B73" t="s">
        <v>79</v>
      </c>
      <c r="C73" t="s">
        <v>177</v>
      </c>
      <c r="D73" t="s">
        <v>180</v>
      </c>
      <c r="E73" t="s">
        <v>99</v>
      </c>
      <c r="F73" t="s">
        <v>100</v>
      </c>
    </row>
    <row r="74" spans="1:6" x14ac:dyDescent="0.3">
      <c r="A74" t="s">
        <v>14</v>
      </c>
      <c r="B74" t="s">
        <v>15</v>
      </c>
      <c r="C74" t="s">
        <v>177</v>
      </c>
      <c r="D74" t="s">
        <v>180</v>
      </c>
      <c r="E74" t="s">
        <v>101</v>
      </c>
      <c r="F74" t="s">
        <v>102</v>
      </c>
    </row>
    <row r="75" spans="1:6" x14ac:dyDescent="0.3">
      <c r="A75" t="s">
        <v>53</v>
      </c>
      <c r="B75" t="s">
        <v>54</v>
      </c>
      <c r="C75" t="s">
        <v>177</v>
      </c>
      <c r="D75" t="s">
        <v>180</v>
      </c>
      <c r="E75" t="s">
        <v>113</v>
      </c>
      <c r="F75" t="s">
        <v>114</v>
      </c>
    </row>
    <row r="76" spans="1:6" x14ac:dyDescent="0.3">
      <c r="A76" t="s">
        <v>53</v>
      </c>
      <c r="B76" t="s">
        <v>54</v>
      </c>
      <c r="C76" t="s">
        <v>177</v>
      </c>
      <c r="D76" t="s">
        <v>180</v>
      </c>
      <c r="E76" t="s">
        <v>101</v>
      </c>
      <c r="F76" t="s">
        <v>102</v>
      </c>
    </row>
    <row r="77" spans="1:6" x14ac:dyDescent="0.3">
      <c r="A77" t="s">
        <v>86</v>
      </c>
      <c r="B77" t="s">
        <v>87</v>
      </c>
      <c r="C77" t="s">
        <v>177</v>
      </c>
      <c r="D77" t="s">
        <v>180</v>
      </c>
      <c r="E77" t="s">
        <v>101</v>
      </c>
      <c r="F77" t="s">
        <v>102</v>
      </c>
    </row>
    <row r="78" spans="1:6" x14ac:dyDescent="0.3">
      <c r="A78" t="s">
        <v>86</v>
      </c>
      <c r="B78" t="s">
        <v>87</v>
      </c>
      <c r="C78" t="s">
        <v>177</v>
      </c>
      <c r="D78" t="s">
        <v>180</v>
      </c>
      <c r="E78" t="s">
        <v>134</v>
      </c>
      <c r="F78" t="s">
        <v>135</v>
      </c>
    </row>
    <row r="79" spans="1:6" x14ac:dyDescent="0.3">
      <c r="A79" s="2" t="s">
        <v>173</v>
      </c>
      <c r="B79" t="s">
        <v>42</v>
      </c>
      <c r="C79" t="s">
        <v>177</v>
      </c>
      <c r="D79" t="s">
        <v>180</v>
      </c>
      <c r="E79" t="s">
        <v>95</v>
      </c>
      <c r="F79" t="s">
        <v>96</v>
      </c>
    </row>
    <row r="80" spans="1:6" x14ac:dyDescent="0.3">
      <c r="A80" s="2" t="s">
        <v>173</v>
      </c>
      <c r="B80" t="s">
        <v>92</v>
      </c>
      <c r="C80" t="s">
        <v>177</v>
      </c>
      <c r="D80" t="s">
        <v>180</v>
      </c>
      <c r="E80" t="s">
        <v>95</v>
      </c>
      <c r="F80" t="s">
        <v>96</v>
      </c>
    </row>
    <row r="81" spans="1:6" x14ac:dyDescent="0.3">
      <c r="A81" s="2" t="s">
        <v>173</v>
      </c>
      <c r="B81" t="s">
        <v>42</v>
      </c>
      <c r="C81" t="s">
        <v>177</v>
      </c>
      <c r="D81" t="s">
        <v>180</v>
      </c>
      <c r="E81" t="s">
        <v>117</v>
      </c>
      <c r="F81" t="s">
        <v>118</v>
      </c>
    </row>
    <row r="82" spans="1:6" x14ac:dyDescent="0.3">
      <c r="A82" s="2" t="s">
        <v>173</v>
      </c>
      <c r="B82" t="s">
        <v>92</v>
      </c>
      <c r="C82" t="s">
        <v>177</v>
      </c>
      <c r="D82" t="s">
        <v>180</v>
      </c>
      <c r="E82" t="s">
        <v>117</v>
      </c>
      <c r="F82" t="s">
        <v>118</v>
      </c>
    </row>
    <row r="83" spans="1:6" x14ac:dyDescent="0.3">
      <c r="A83" s="2" t="s">
        <v>173</v>
      </c>
      <c r="B83" t="s">
        <v>42</v>
      </c>
      <c r="C83" t="s">
        <v>177</v>
      </c>
      <c r="D83" t="s">
        <v>180</v>
      </c>
      <c r="E83" t="s">
        <v>101</v>
      </c>
      <c r="F83" t="s">
        <v>102</v>
      </c>
    </row>
    <row r="84" spans="1:6" x14ac:dyDescent="0.3">
      <c r="A84" s="2" t="s">
        <v>173</v>
      </c>
      <c r="B84" t="s">
        <v>92</v>
      </c>
      <c r="C84" t="s">
        <v>177</v>
      </c>
      <c r="D84" t="s">
        <v>180</v>
      </c>
      <c r="E84" t="s">
        <v>101</v>
      </c>
      <c r="F84" t="s">
        <v>102</v>
      </c>
    </row>
    <row r="85" spans="1:6" x14ac:dyDescent="0.3">
      <c r="A85" s="2" t="s">
        <v>173</v>
      </c>
      <c r="B85" t="s">
        <v>42</v>
      </c>
      <c r="C85" t="s">
        <v>177</v>
      </c>
      <c r="D85" t="s">
        <v>180</v>
      </c>
      <c r="E85" t="s">
        <v>123</v>
      </c>
      <c r="F85" t="s">
        <v>124</v>
      </c>
    </row>
    <row r="86" spans="1:6" x14ac:dyDescent="0.3">
      <c r="A86" s="2" t="s">
        <v>173</v>
      </c>
      <c r="B86" t="s">
        <v>92</v>
      </c>
      <c r="C86" t="s">
        <v>177</v>
      </c>
      <c r="D86" t="s">
        <v>180</v>
      </c>
      <c r="E86" t="s">
        <v>123</v>
      </c>
      <c r="F86" t="s">
        <v>124</v>
      </c>
    </row>
    <row r="87" spans="1:6" x14ac:dyDescent="0.3">
      <c r="A87" s="2" t="s">
        <v>173</v>
      </c>
      <c r="B87" t="s">
        <v>42</v>
      </c>
      <c r="C87" t="s">
        <v>177</v>
      </c>
      <c r="D87" t="s">
        <v>180</v>
      </c>
      <c r="E87" t="s">
        <v>99</v>
      </c>
      <c r="F87" t="s">
        <v>100</v>
      </c>
    </row>
    <row r="88" spans="1:6" x14ac:dyDescent="0.3">
      <c r="A88" s="2" t="s">
        <v>173</v>
      </c>
      <c r="B88" t="s">
        <v>92</v>
      </c>
      <c r="C88" t="s">
        <v>177</v>
      </c>
      <c r="D88" t="s">
        <v>180</v>
      </c>
      <c r="E88" t="s">
        <v>99</v>
      </c>
      <c r="F88" t="s">
        <v>100</v>
      </c>
    </row>
    <row r="89" spans="1:6" x14ac:dyDescent="0.3">
      <c r="A89" s="2" t="s">
        <v>173</v>
      </c>
      <c r="B89" t="s">
        <v>42</v>
      </c>
      <c r="C89" t="s">
        <v>177</v>
      </c>
      <c r="D89" t="s">
        <v>180</v>
      </c>
      <c r="E89" t="s">
        <v>125</v>
      </c>
      <c r="F89" t="s">
        <v>126</v>
      </c>
    </row>
    <row r="90" spans="1:6" x14ac:dyDescent="0.3">
      <c r="A90" s="2" t="s">
        <v>173</v>
      </c>
      <c r="B90" t="s">
        <v>92</v>
      </c>
      <c r="C90" t="s">
        <v>177</v>
      </c>
      <c r="D90" t="s">
        <v>180</v>
      </c>
      <c r="E90" t="s">
        <v>125</v>
      </c>
      <c r="F90" t="s">
        <v>126</v>
      </c>
    </row>
    <row r="91" spans="1:6" x14ac:dyDescent="0.3">
      <c r="A91" t="s">
        <v>51</v>
      </c>
      <c r="B91" t="s">
        <v>52</v>
      </c>
      <c r="C91" t="s">
        <v>177</v>
      </c>
      <c r="D91" t="s">
        <v>180</v>
      </c>
      <c r="E91" t="s">
        <v>101</v>
      </c>
      <c r="F91" t="s">
        <v>102</v>
      </c>
    </row>
    <row r="92" spans="1:6" x14ac:dyDescent="0.3">
      <c r="A92" t="s">
        <v>24</v>
      </c>
      <c r="B92" t="s">
        <v>25</v>
      </c>
      <c r="C92" t="s">
        <v>178</v>
      </c>
      <c r="D92" t="s">
        <v>181</v>
      </c>
      <c r="E92" t="s">
        <v>145</v>
      </c>
      <c r="F92" t="s">
        <v>146</v>
      </c>
    </row>
    <row r="93" spans="1:6" x14ac:dyDescent="0.3">
      <c r="A93" t="s">
        <v>73</v>
      </c>
      <c r="B93" t="s">
        <v>74</v>
      </c>
      <c r="C93" t="s">
        <v>178</v>
      </c>
      <c r="D93" t="s">
        <v>181</v>
      </c>
      <c r="E93" t="s">
        <v>169</v>
      </c>
      <c r="F93" t="s">
        <v>170</v>
      </c>
    </row>
    <row r="94" spans="1:6" x14ac:dyDescent="0.3">
      <c r="A94" t="s">
        <v>73</v>
      </c>
      <c r="B94" t="s">
        <v>74</v>
      </c>
      <c r="C94" t="s">
        <v>178</v>
      </c>
      <c r="D94" t="s">
        <v>181</v>
      </c>
      <c r="E94" t="s">
        <v>145</v>
      </c>
      <c r="F94" t="s">
        <v>146</v>
      </c>
    </row>
    <row r="95" spans="1:6" x14ac:dyDescent="0.3">
      <c r="A95" t="s">
        <v>103</v>
      </c>
      <c r="B95" t="s">
        <v>104</v>
      </c>
      <c r="C95" t="s">
        <v>178</v>
      </c>
      <c r="D95" t="s">
        <v>181</v>
      </c>
      <c r="E95" t="s">
        <v>140</v>
      </c>
      <c r="F95" t="s">
        <v>141</v>
      </c>
    </row>
    <row r="96" spans="1:6" x14ac:dyDescent="0.3">
      <c r="A96" t="s">
        <v>103</v>
      </c>
      <c r="B96" t="s">
        <v>104</v>
      </c>
      <c r="C96" t="s">
        <v>178</v>
      </c>
      <c r="D96" t="s">
        <v>181</v>
      </c>
      <c r="E96" t="s">
        <v>140</v>
      </c>
      <c r="F96" t="s">
        <v>142</v>
      </c>
    </row>
    <row r="97" spans="1:6" x14ac:dyDescent="0.3">
      <c r="A97" t="s">
        <v>103</v>
      </c>
      <c r="B97" t="s">
        <v>104</v>
      </c>
      <c r="C97" t="s">
        <v>178</v>
      </c>
      <c r="D97" t="s">
        <v>181</v>
      </c>
      <c r="E97" t="s">
        <v>143</v>
      </c>
      <c r="F97" t="s">
        <v>144</v>
      </c>
    </row>
    <row r="98" spans="1:6" x14ac:dyDescent="0.3">
      <c r="A98" t="s">
        <v>103</v>
      </c>
      <c r="B98" t="s">
        <v>104</v>
      </c>
      <c r="C98" t="s">
        <v>178</v>
      </c>
      <c r="D98" t="s">
        <v>181</v>
      </c>
      <c r="E98" t="s">
        <v>145</v>
      </c>
      <c r="F98" t="s">
        <v>146</v>
      </c>
    </row>
    <row r="99" spans="1:6" x14ac:dyDescent="0.3">
      <c r="A99" t="s">
        <v>103</v>
      </c>
      <c r="B99" t="s">
        <v>104</v>
      </c>
      <c r="C99" t="s">
        <v>178</v>
      </c>
      <c r="D99" t="s">
        <v>181</v>
      </c>
      <c r="E99" t="s">
        <v>147</v>
      </c>
      <c r="F99" t="s">
        <v>148</v>
      </c>
    </row>
    <row r="100" spans="1:6" x14ac:dyDescent="0.3">
      <c r="A100" t="s">
        <v>103</v>
      </c>
      <c r="B100" t="s">
        <v>104</v>
      </c>
      <c r="C100" t="s">
        <v>178</v>
      </c>
      <c r="D100" t="s">
        <v>181</v>
      </c>
      <c r="E100" t="s">
        <v>149</v>
      </c>
      <c r="F100" t="s">
        <v>150</v>
      </c>
    </row>
    <row r="101" spans="1:6" x14ac:dyDescent="0.3">
      <c r="A101" t="s">
        <v>111</v>
      </c>
      <c r="B101" t="s">
        <v>112</v>
      </c>
      <c r="C101" t="s">
        <v>178</v>
      </c>
      <c r="D101" t="s">
        <v>181</v>
      </c>
      <c r="E101" t="s">
        <v>151</v>
      </c>
      <c r="F101" t="s">
        <v>152</v>
      </c>
    </row>
    <row r="102" spans="1:6" x14ac:dyDescent="0.3">
      <c r="A102" t="s">
        <v>6</v>
      </c>
      <c r="B102" t="s">
        <v>7</v>
      </c>
      <c r="C102" t="s">
        <v>178</v>
      </c>
      <c r="D102" t="s">
        <v>181</v>
      </c>
      <c r="E102" t="s">
        <v>136</v>
      </c>
      <c r="F102" t="s">
        <v>137</v>
      </c>
    </row>
    <row r="103" spans="1:6" x14ac:dyDescent="0.3">
      <c r="A103" t="s">
        <v>6</v>
      </c>
      <c r="B103" t="s">
        <v>7</v>
      </c>
      <c r="C103" t="s">
        <v>178</v>
      </c>
      <c r="D103" t="s">
        <v>181</v>
      </c>
      <c r="E103" t="s">
        <v>138</v>
      </c>
      <c r="F103" t="s">
        <v>139</v>
      </c>
    </row>
    <row r="104" spans="1:6" x14ac:dyDescent="0.3">
      <c r="A104" t="s">
        <v>30</v>
      </c>
      <c r="B104" t="s">
        <v>31</v>
      </c>
      <c r="C104" t="s">
        <v>178</v>
      </c>
      <c r="D104" t="s">
        <v>181</v>
      </c>
      <c r="E104" t="s">
        <v>165</v>
      </c>
      <c r="F104" t="s">
        <v>166</v>
      </c>
    </row>
    <row r="105" spans="1:6" x14ac:dyDescent="0.3">
      <c r="A105" t="s">
        <v>30</v>
      </c>
      <c r="B105" t="s">
        <v>31</v>
      </c>
      <c r="C105" t="s">
        <v>178</v>
      </c>
      <c r="D105" t="s">
        <v>181</v>
      </c>
      <c r="E105" t="s">
        <v>167</v>
      </c>
      <c r="F105" t="s">
        <v>168</v>
      </c>
    </row>
    <row r="106" spans="1:6" x14ac:dyDescent="0.3">
      <c r="A106" t="s">
        <v>20</v>
      </c>
      <c r="B106" t="s">
        <v>21</v>
      </c>
      <c r="C106" t="s">
        <v>178</v>
      </c>
      <c r="D106" t="s">
        <v>181</v>
      </c>
      <c r="E106" t="s">
        <v>153</v>
      </c>
      <c r="F106" t="s">
        <v>154</v>
      </c>
    </row>
    <row r="107" spans="1:6" x14ac:dyDescent="0.3">
      <c r="A107" t="s">
        <v>20</v>
      </c>
      <c r="B107" t="s">
        <v>21</v>
      </c>
      <c r="C107" t="s">
        <v>178</v>
      </c>
      <c r="D107" t="s">
        <v>181</v>
      </c>
      <c r="E107" t="s">
        <v>155</v>
      </c>
      <c r="F107" t="s">
        <v>156</v>
      </c>
    </row>
    <row r="108" spans="1:6" x14ac:dyDescent="0.3">
      <c r="A108" t="s">
        <v>121</v>
      </c>
      <c r="B108" t="s">
        <v>122</v>
      </c>
      <c r="C108" t="s">
        <v>178</v>
      </c>
      <c r="D108" t="s">
        <v>181</v>
      </c>
      <c r="E108" t="s">
        <v>157</v>
      </c>
      <c r="F108" t="s">
        <v>158</v>
      </c>
    </row>
    <row r="109" spans="1:6" x14ac:dyDescent="0.3">
      <c r="A109" t="s">
        <v>121</v>
      </c>
      <c r="B109" t="s">
        <v>122</v>
      </c>
      <c r="C109" t="s">
        <v>178</v>
      </c>
      <c r="D109" t="s">
        <v>181</v>
      </c>
      <c r="E109" t="s">
        <v>159</v>
      </c>
      <c r="F109" t="s">
        <v>160</v>
      </c>
    </row>
    <row r="110" spans="1:6" x14ac:dyDescent="0.3">
      <c r="A110" t="s">
        <v>121</v>
      </c>
      <c r="B110" t="s">
        <v>122</v>
      </c>
      <c r="C110" t="s">
        <v>178</v>
      </c>
      <c r="D110" t="s">
        <v>181</v>
      </c>
      <c r="E110" t="s">
        <v>161</v>
      </c>
      <c r="F110" t="s">
        <v>162</v>
      </c>
    </row>
    <row r="111" spans="1:6" x14ac:dyDescent="0.3">
      <c r="A111" t="s">
        <v>121</v>
      </c>
      <c r="B111" t="s">
        <v>122</v>
      </c>
      <c r="C111" t="s">
        <v>178</v>
      </c>
      <c r="D111" t="s">
        <v>181</v>
      </c>
      <c r="E111" t="s">
        <v>163</v>
      </c>
      <c r="F111" t="s">
        <v>164</v>
      </c>
    </row>
    <row r="112" spans="1:6" x14ac:dyDescent="0.3">
      <c r="A112" t="s">
        <v>10</v>
      </c>
      <c r="B112" t="s">
        <v>11</v>
      </c>
      <c r="C112" t="s">
        <v>178</v>
      </c>
      <c r="D112" t="s">
        <v>181</v>
      </c>
      <c r="E112" t="s">
        <v>140</v>
      </c>
      <c r="F112" t="s">
        <v>141</v>
      </c>
    </row>
    <row r="113" spans="1:6" x14ac:dyDescent="0.3">
      <c r="A113" t="s">
        <v>10</v>
      </c>
      <c r="B113" t="s">
        <v>11</v>
      </c>
      <c r="C113" t="s">
        <v>178</v>
      </c>
      <c r="D113" t="s">
        <v>181</v>
      </c>
      <c r="E113" t="s">
        <v>140</v>
      </c>
      <c r="F113" t="s">
        <v>142</v>
      </c>
    </row>
    <row r="114" spans="1:6" x14ac:dyDescent="0.3">
      <c r="A114" t="s">
        <v>127</v>
      </c>
      <c r="B114" t="s">
        <v>128</v>
      </c>
      <c r="C114" t="s">
        <v>178</v>
      </c>
      <c r="D114" t="s">
        <v>181</v>
      </c>
      <c r="E114" t="s">
        <v>155</v>
      </c>
      <c r="F114" t="s">
        <v>156</v>
      </c>
    </row>
    <row r="115" spans="1:6" x14ac:dyDescent="0.3">
      <c r="A115" t="s">
        <v>49</v>
      </c>
      <c r="B115" t="s">
        <v>50</v>
      </c>
      <c r="C115" t="s">
        <v>178</v>
      </c>
      <c r="D115" t="s">
        <v>181</v>
      </c>
      <c r="E115" t="s">
        <v>167</v>
      </c>
      <c r="F115" t="s">
        <v>168</v>
      </c>
    </row>
    <row r="116" spans="1:6" x14ac:dyDescent="0.3">
      <c r="A116" t="s">
        <v>171</v>
      </c>
      <c r="B116" t="s">
        <v>172</v>
      </c>
      <c r="C116" t="s">
        <v>178</v>
      </c>
      <c r="D116" t="s">
        <v>181</v>
      </c>
      <c r="E116" t="s">
        <v>157</v>
      </c>
      <c r="F116" t="s">
        <v>158</v>
      </c>
    </row>
    <row r="117" spans="1:6" x14ac:dyDescent="0.3">
      <c r="A117" t="s">
        <v>171</v>
      </c>
      <c r="B117" t="s">
        <v>172</v>
      </c>
      <c r="C117" t="s">
        <v>178</v>
      </c>
      <c r="D117" t="s">
        <v>181</v>
      </c>
      <c r="E117" t="s">
        <v>161</v>
      </c>
      <c r="F117" t="s">
        <v>162</v>
      </c>
    </row>
    <row r="118" spans="1:6" x14ac:dyDescent="0.3">
      <c r="A118" t="s">
        <v>171</v>
      </c>
      <c r="B118" t="s">
        <v>172</v>
      </c>
      <c r="C118" t="s">
        <v>178</v>
      </c>
      <c r="D118" t="s">
        <v>181</v>
      </c>
      <c r="E118" t="s">
        <v>163</v>
      </c>
      <c r="F118" t="s">
        <v>164</v>
      </c>
    </row>
    <row r="119" spans="1:6" x14ac:dyDescent="0.3">
      <c r="A119" t="s">
        <v>78</v>
      </c>
      <c r="B119" t="s">
        <v>79</v>
      </c>
      <c r="C119" t="s">
        <v>178</v>
      </c>
      <c r="D119" t="s">
        <v>181</v>
      </c>
      <c r="E119" t="s">
        <v>145</v>
      </c>
      <c r="F119" t="s">
        <v>146</v>
      </c>
    </row>
    <row r="120" spans="1:6" x14ac:dyDescent="0.3">
      <c r="A120" t="s">
        <v>53</v>
      </c>
      <c r="B120" t="s">
        <v>54</v>
      </c>
      <c r="C120" t="s">
        <v>178</v>
      </c>
      <c r="D120" t="s">
        <v>181</v>
      </c>
      <c r="E120" t="s">
        <v>140</v>
      </c>
      <c r="F120" t="s">
        <v>141</v>
      </c>
    </row>
    <row r="121" spans="1:6" x14ac:dyDescent="0.3">
      <c r="A121" t="s">
        <v>53</v>
      </c>
      <c r="B121" t="s">
        <v>54</v>
      </c>
      <c r="C121" t="s">
        <v>178</v>
      </c>
      <c r="D121" t="s">
        <v>181</v>
      </c>
      <c r="E121" t="s">
        <v>140</v>
      </c>
      <c r="F121" t="s">
        <v>142</v>
      </c>
    </row>
    <row r="122" spans="1:6" x14ac:dyDescent="0.3">
      <c r="A122" t="s">
        <v>53</v>
      </c>
      <c r="B122" t="s">
        <v>54</v>
      </c>
      <c r="C122" t="s">
        <v>178</v>
      </c>
      <c r="D122" t="s">
        <v>181</v>
      </c>
      <c r="E122" t="s">
        <v>151</v>
      </c>
      <c r="F122" t="s">
        <v>152</v>
      </c>
    </row>
    <row r="123" spans="1:6" x14ac:dyDescent="0.3">
      <c r="A123" t="s">
        <v>86</v>
      </c>
      <c r="B123" t="s">
        <v>87</v>
      </c>
      <c r="C123" t="s">
        <v>178</v>
      </c>
      <c r="D123" t="s">
        <v>181</v>
      </c>
      <c r="E123" t="s">
        <v>151</v>
      </c>
      <c r="F123" t="s">
        <v>152</v>
      </c>
    </row>
    <row r="124" spans="1:6" x14ac:dyDescent="0.3">
      <c r="A124" s="2" t="s">
        <v>173</v>
      </c>
      <c r="B124" t="s">
        <v>42</v>
      </c>
      <c r="C124" t="s">
        <v>178</v>
      </c>
      <c r="D124" t="s">
        <v>181</v>
      </c>
      <c r="E124" t="s">
        <v>165</v>
      </c>
      <c r="F124" t="s">
        <v>166</v>
      </c>
    </row>
    <row r="125" spans="1:6" x14ac:dyDescent="0.3">
      <c r="A125" s="2" t="s">
        <v>173</v>
      </c>
      <c r="B125" t="s">
        <v>92</v>
      </c>
      <c r="C125" t="s">
        <v>178</v>
      </c>
      <c r="D125" t="s">
        <v>181</v>
      </c>
      <c r="E125" t="s">
        <v>165</v>
      </c>
      <c r="F125" t="s">
        <v>166</v>
      </c>
    </row>
    <row r="126" spans="1:6" x14ac:dyDescent="0.3">
      <c r="A126" s="2" t="s">
        <v>173</v>
      </c>
      <c r="B126" t="s">
        <v>42</v>
      </c>
      <c r="C126" t="s">
        <v>178</v>
      </c>
      <c r="D126" t="s">
        <v>181</v>
      </c>
      <c r="E126" t="s">
        <v>140</v>
      </c>
      <c r="F126" t="s">
        <v>141</v>
      </c>
    </row>
    <row r="127" spans="1:6" x14ac:dyDescent="0.3">
      <c r="A127" s="2" t="s">
        <v>173</v>
      </c>
      <c r="B127" t="s">
        <v>42</v>
      </c>
      <c r="C127" t="s">
        <v>178</v>
      </c>
      <c r="D127" t="s">
        <v>181</v>
      </c>
      <c r="E127" t="s">
        <v>140</v>
      </c>
      <c r="F127" t="s">
        <v>142</v>
      </c>
    </row>
    <row r="128" spans="1:6" x14ac:dyDescent="0.3">
      <c r="A128" s="2" t="s">
        <v>173</v>
      </c>
      <c r="B128" t="s">
        <v>92</v>
      </c>
      <c r="C128" t="s">
        <v>178</v>
      </c>
      <c r="D128" t="s">
        <v>181</v>
      </c>
      <c r="E128" t="s">
        <v>140</v>
      </c>
      <c r="F128" t="s">
        <v>141</v>
      </c>
    </row>
    <row r="129" spans="1:6" x14ac:dyDescent="0.3">
      <c r="A129" s="2" t="s">
        <v>173</v>
      </c>
      <c r="B129" t="s">
        <v>92</v>
      </c>
      <c r="C129" t="s">
        <v>178</v>
      </c>
      <c r="D129" t="s">
        <v>181</v>
      </c>
      <c r="E129" t="s">
        <v>140</v>
      </c>
      <c r="F129" t="s">
        <v>142</v>
      </c>
    </row>
    <row r="130" spans="1:6" x14ac:dyDescent="0.3">
      <c r="A130" s="2" t="s">
        <v>173</v>
      </c>
      <c r="B130" t="s">
        <v>42</v>
      </c>
      <c r="C130" t="s">
        <v>178</v>
      </c>
      <c r="D130" t="s">
        <v>181</v>
      </c>
      <c r="E130" t="s">
        <v>167</v>
      </c>
      <c r="F130" t="s">
        <v>168</v>
      </c>
    </row>
    <row r="131" spans="1:6" x14ac:dyDescent="0.3">
      <c r="A131" s="2" t="s">
        <v>173</v>
      </c>
      <c r="B131" t="s">
        <v>92</v>
      </c>
      <c r="C131" t="s">
        <v>178</v>
      </c>
      <c r="D131" t="s">
        <v>181</v>
      </c>
      <c r="E131" t="s">
        <v>167</v>
      </c>
      <c r="F131" t="s">
        <v>168</v>
      </c>
    </row>
    <row r="132" spans="1:6" x14ac:dyDescent="0.3">
      <c r="A132" t="s">
        <v>51</v>
      </c>
      <c r="B132" t="s">
        <v>52</v>
      </c>
      <c r="C132" t="s">
        <v>178</v>
      </c>
      <c r="D132" t="s">
        <v>181</v>
      </c>
      <c r="E132" t="s">
        <v>167</v>
      </c>
      <c r="F132" t="s">
        <v>168</v>
      </c>
    </row>
    <row r="133" spans="1:6" x14ac:dyDescent="0.3">
      <c r="A133" t="s">
        <v>93</v>
      </c>
      <c r="B133" t="s">
        <v>94</v>
      </c>
      <c r="C133" t="s">
        <v>178</v>
      </c>
      <c r="D133" t="s">
        <v>181</v>
      </c>
      <c r="E133" t="s">
        <v>138</v>
      </c>
      <c r="F133" t="s">
        <v>139</v>
      </c>
    </row>
    <row r="134" spans="1:6" x14ac:dyDescent="0.3">
      <c r="A134" t="s">
        <v>93</v>
      </c>
      <c r="B134" t="s">
        <v>94</v>
      </c>
      <c r="C134" t="s">
        <v>178</v>
      </c>
      <c r="D134" t="s">
        <v>181</v>
      </c>
      <c r="E134" t="s">
        <v>163</v>
      </c>
      <c r="F134" t="s">
        <v>164</v>
      </c>
    </row>
  </sheetData>
  <autoFilter ref="A3:F134" xr:uid="{BD984897-5017-42A9-A2AF-DBACA954BDDD}">
    <sortState xmlns:xlrd2="http://schemas.microsoft.com/office/spreadsheetml/2017/richdata2" ref="A4:F134">
      <sortCondition ref="C3:C1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F8E3-43B7-4375-93B2-B8B5BE96D8B1}">
  <dimension ref="A1:C25"/>
  <sheetViews>
    <sheetView tabSelected="1" workbookViewId="0">
      <selection activeCell="A24" sqref="A24:C24"/>
    </sheetView>
  </sheetViews>
  <sheetFormatPr baseColWidth="10" defaultRowHeight="14.4" x14ac:dyDescent="0.3"/>
  <cols>
    <col min="1" max="1" width="10.33203125" style="3" customWidth="1"/>
    <col min="2" max="2" width="17.109375" style="4" bestFit="1" customWidth="1"/>
    <col min="3" max="3" width="78.33203125" style="5" customWidth="1"/>
    <col min="4" max="16384" width="11.5546875" style="4"/>
  </cols>
  <sheetData>
    <row r="1" spans="1:3" x14ac:dyDescent="0.3">
      <c r="A1" s="3" t="s">
        <v>0</v>
      </c>
    </row>
    <row r="3" spans="1:3" s="9" customFormat="1" x14ac:dyDescent="0.3">
      <c r="A3" s="6" t="s">
        <v>174</v>
      </c>
      <c r="B3" s="7" t="s">
        <v>175</v>
      </c>
      <c r="C3" s="8" t="s">
        <v>4</v>
      </c>
    </row>
    <row r="4" spans="1:3" x14ac:dyDescent="0.3">
      <c r="A4" s="3" t="str" cm="1">
        <f t="array" ref="A4:C25">_xlfn.GROUPBY('Table S3'!$A$4:$A$134,'Table S3'!$D$4:$E$134, _xlfn.LAMBDA(_xlpm.x, _xlfn.TEXTJOIN(", ", TRUE, _xlfn.UNIQUE(_xlpm.x))), 0, 0)</f>
        <v>At1g09390</v>
      </c>
      <c r="B4" s="4" t="str">
        <v>BP, CC, MF</v>
      </c>
      <c r="C4" s="5" t="str">
        <v>Lipid degradation, Lipid metabolism, Secreted, Hydrolase</v>
      </c>
    </row>
    <row r="5" spans="1:3" x14ac:dyDescent="0.3">
      <c r="A5" s="3" t="str">
        <v>At1g48100</v>
      </c>
      <c r="B5" s="4" t="str">
        <v>BP, CC, MF</v>
      </c>
      <c r="C5" s="5" t="str">
        <v>Cell wall biogenesis/degradation, Cell wall, Secreted, Glycosidase, Hydrolase</v>
      </c>
    </row>
    <row r="6" spans="1:3" x14ac:dyDescent="0.3">
      <c r="A6" s="3" t="str">
        <v>At1g67900</v>
      </c>
      <c r="B6" s="4" t="str">
        <v>BP</v>
      </c>
      <c r="C6" s="5" t="str">
        <v>Ubl conjugation pathway</v>
      </c>
    </row>
    <row r="7" spans="1:3" ht="28.8" x14ac:dyDescent="0.3">
      <c r="A7" s="3" t="str">
        <v>CEP3</v>
      </c>
      <c r="B7" s="4" t="str">
        <v>CC, MF</v>
      </c>
      <c r="C7" s="5" t="str">
        <v>Apoplast, Endoplasmic reticulum, Secreted, Developmental protein, Hormone, Hydrolase, Protease, Thiol protease</v>
      </c>
    </row>
    <row r="8" spans="1:3" x14ac:dyDescent="0.3">
      <c r="A8" s="3" t="str">
        <v>ECT2</v>
      </c>
      <c r="B8" s="4" t="str">
        <v>CC, MF</v>
      </c>
      <c r="C8" s="5" t="str">
        <v>Cytoplasm, Nucleus, RNA-binding</v>
      </c>
    </row>
    <row r="9" spans="1:3" x14ac:dyDescent="0.3">
      <c r="A9" s="3" t="str">
        <v>EMB1027</v>
      </c>
      <c r="B9" s="4" t="str">
        <v>BP, CC, MF</v>
      </c>
      <c r="C9" s="5" t="str">
        <v>Protein biosynthesis, Chloroplast, Mitochondrion, Plastid, Aminoacyl-tRNA synthetase, Ligase</v>
      </c>
    </row>
    <row r="10" spans="1:3" ht="28.8" x14ac:dyDescent="0.3">
      <c r="A10" s="3" t="str">
        <v>ESR1</v>
      </c>
      <c r="B10" s="4" t="str">
        <v>BP, CC, MF</v>
      </c>
      <c r="C10" s="5" t="str">
        <v>Auxin signaling pathway, Cytokinin signaling pathway, Ethylene signaling pathway, Transcription, Transcription regulation, Nucleus, Activator, DNA-binding</v>
      </c>
    </row>
    <row r="11" spans="1:3" x14ac:dyDescent="0.3">
      <c r="A11" s="3" t="str">
        <v>F3H</v>
      </c>
      <c r="B11" s="4" t="str">
        <v>BP, MF</v>
      </c>
      <c r="C11" s="5" t="str">
        <v>Flavonoid biosynthesis, Dioxygenase, Oxidoreductase</v>
      </c>
    </row>
    <row r="12" spans="1:3" x14ac:dyDescent="0.3">
      <c r="A12" s="3" t="str">
        <v>FLA2</v>
      </c>
      <c r="B12" s="4" t="str">
        <v>CC</v>
      </c>
      <c r="C12" s="5" t="str">
        <v>Cell membrane, Membrane</v>
      </c>
    </row>
    <row r="13" spans="1:3" x14ac:dyDescent="0.3">
      <c r="A13" s="3" t="str">
        <v>HERK1</v>
      </c>
      <c r="B13" s="4" t="str">
        <v>CC, MF</v>
      </c>
      <c r="C13" s="5" t="str">
        <v>Cell membrane, Membrane, Kinase, Receptor, Serine/threonine-protein kinase, Transferase</v>
      </c>
    </row>
    <row r="14" spans="1:3" x14ac:dyDescent="0.3">
      <c r="A14" s="3" t="str">
        <v>LFR</v>
      </c>
      <c r="B14" s="4" t="str">
        <v>BP, CC, MF</v>
      </c>
      <c r="C14" s="5" t="str">
        <v>Growth regulation, Nucleus, Developmental protein</v>
      </c>
    </row>
    <row r="15" spans="1:3" x14ac:dyDescent="0.3">
      <c r="A15" s="3" t="str">
        <v>LPD1</v>
      </c>
      <c r="B15" s="4" t="str">
        <v>CC, MF</v>
      </c>
      <c r="C15" s="5" t="str">
        <v>Chloroplast, Mitochondrion, Plastid, Oxidoreductase</v>
      </c>
    </row>
    <row r="16" spans="1:3" x14ac:dyDescent="0.3">
      <c r="A16" s="3" t="str">
        <v>MBD13</v>
      </c>
      <c r="B16" s="4" t="str">
        <v>BP, CC, MF</v>
      </c>
      <c r="C16" s="5" t="str">
        <v>Transcription, Transcription regulation, Nucleus, DNA-binding</v>
      </c>
    </row>
    <row r="17" spans="1:3" x14ac:dyDescent="0.3">
      <c r="A17" s="3" t="str">
        <v>NEK6</v>
      </c>
      <c r="B17" s="4" t="str">
        <v>MF</v>
      </c>
      <c r="C17" s="5" t="str">
        <v>Kinase, Serine/threonine-protein kinase, Transferase</v>
      </c>
    </row>
    <row r="18" spans="1:3" x14ac:dyDescent="0.3">
      <c r="A18" s="3" t="str">
        <v>NRPE7</v>
      </c>
      <c r="B18" s="4" t="str">
        <v>BP, CC</v>
      </c>
      <c r="C18" s="5" t="str">
        <v>Transcription, DNA-directed RNA polymerase, Nucleus</v>
      </c>
    </row>
    <row r="19" spans="1:3" x14ac:dyDescent="0.3">
      <c r="A19" s="3" t="str">
        <v>PDF1B</v>
      </c>
      <c r="B19" s="4" t="str">
        <v>BP, CC, MF</v>
      </c>
      <c r="C19" s="5" t="str">
        <v>Protein biosynthesis, Chloroplast, Mitochondrion, Plastid, Hydrolase</v>
      </c>
    </row>
    <row r="20" spans="1:3" x14ac:dyDescent="0.3">
      <c r="A20" s="3" t="str">
        <v>PMS1</v>
      </c>
      <c r="B20" s="4" t="str">
        <v>BP, CC</v>
      </c>
      <c r="C20" s="5" t="str">
        <v>DNA damage, DNA repair, Nucleus</v>
      </c>
    </row>
    <row r="21" spans="1:3" ht="43.2" x14ac:dyDescent="0.3">
      <c r="A21" s="3" t="str">
        <v>PYM</v>
      </c>
      <c r="B21" s="4" t="str">
        <v>BP, CC, MF</v>
      </c>
      <c r="C21" s="5" t="str">
        <v>Cell cycle, Cell division, DNA replication, Mitosis, mRNA transport, Nonsense-mediated mRNA decay, Plant defense, Translation regulation, Transport, Cytoplasm, Nucleus, Developmental protein, RNA-binding</v>
      </c>
    </row>
    <row r="22" spans="1:3" x14ac:dyDescent="0.3">
      <c r="A22" s="3" t="str">
        <v>RS2Z32</v>
      </c>
      <c r="B22" s="4" t="str">
        <v>BP, CC, MF</v>
      </c>
      <c r="C22" s="5" t="str">
        <v>mRNA processing, mRNA splicing, Nucleus, Spliceosome, RNA-binding</v>
      </c>
    </row>
    <row r="23" spans="1:3" ht="43.2" x14ac:dyDescent="0.3">
      <c r="A23" s="3" t="str">
        <v>SEP1</v>
      </c>
      <c r="B23" s="4" t="str">
        <v>BP, CC, MF</v>
      </c>
      <c r="C23" s="5" t="str">
        <v>Differentiation, Flowering, Photosynthesis, Transcription, Transcription regulation, Chloroplast, Membrane, Nucleus, Photosystem II, Plastid, Thylakoid, Activator, Developmental protein, DNA-binding</v>
      </c>
    </row>
    <row r="24" spans="1:3" x14ac:dyDescent="0.3">
      <c r="A24" s="3" t="str">
        <v>SOG1</v>
      </c>
      <c r="B24" s="4" t="str">
        <v>BP, CC, MF</v>
      </c>
      <c r="C24" s="5" t="str">
        <v>Transcription, Transcription regulation, Nucleus, DNA-binding</v>
      </c>
    </row>
    <row r="25" spans="1:3" x14ac:dyDescent="0.3">
      <c r="A25" s="3" t="str">
        <v>UPL6</v>
      </c>
      <c r="B25" s="4" t="str">
        <v>BP, MF</v>
      </c>
      <c r="C25" s="5" t="str">
        <v>Ubl conjugation pathway, Ligase, Transferase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S3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Silva Aguilar</dc:creator>
  <cp:lastModifiedBy>Fernando Silva Aguilar</cp:lastModifiedBy>
  <dcterms:created xsi:type="dcterms:W3CDTF">2026-07-23T18:57:20Z</dcterms:created>
  <dcterms:modified xsi:type="dcterms:W3CDTF">2026-07-23T18:57:21Z</dcterms:modified>
</cp:coreProperties>
</file>