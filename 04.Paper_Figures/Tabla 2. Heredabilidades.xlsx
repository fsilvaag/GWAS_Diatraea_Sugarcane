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E:\Unidades compartidas\SAM_Diatraea (articulo Socolen)\Frontiers_Paper\3.4.Revisiones\"/>
    </mc:Choice>
  </mc:AlternateContent>
  <xr:revisionPtr revIDLastSave="0" documentId="8_{3E2EC833-0E16-45A5-BB5E-087CED43AC72}" xr6:coauthVersionLast="47" xr6:coauthVersionMax="47" xr10:uidLastSave="{00000000-0000-0000-0000-000000000000}"/>
  <bookViews>
    <workbookView xWindow="28680" yWindow="-1095" windowWidth="29040" windowHeight="15720" activeTab="1" xr2:uid="{F14AC53A-F720-4A7B-A9C7-E16CF3526EF9}"/>
  </bookViews>
  <sheets>
    <sheet name="Heritability" sheetId="1" r:id="rId1"/>
    <sheet name="Summary" sheetId="2" r:id="rId2"/>
  </sheets>
  <definedNames>
    <definedName name="_Ref235542239" localSheetId="1">Summary!$A$1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2" l="1"/>
  <c r="C11" i="2"/>
  <c r="B11" i="2"/>
  <c r="D10" i="2"/>
  <c r="C10" i="2"/>
  <c r="B10" i="2"/>
  <c r="D9" i="2"/>
  <c r="C9" i="2"/>
  <c r="B9" i="2"/>
  <c r="D8" i="2"/>
  <c r="C8" i="2"/>
  <c r="B8" i="2"/>
  <c r="D6" i="2"/>
  <c r="C6" i="2"/>
  <c r="B6" i="2"/>
  <c r="D5" i="2"/>
  <c r="C5" i="2"/>
  <c r="B5" i="2"/>
  <c r="D4" i="2"/>
  <c r="C4" i="2"/>
  <c r="B4" i="2"/>
  <c r="D7" i="2" l="1"/>
  <c r="C7" i="2"/>
  <c r="B7" i="2"/>
</calcChain>
</file>

<file path=xl/sharedStrings.xml><?xml version="1.0" encoding="utf-8"?>
<sst xmlns="http://schemas.openxmlformats.org/spreadsheetml/2006/main" count="38" uniqueCount="38">
  <si>
    <t>Evaluacion</t>
  </si>
  <si>
    <t>n_Genotypes</t>
  </si>
  <si>
    <t>H2_Cullis_BI</t>
  </si>
  <si>
    <t>H2_Cullis_SInd</t>
  </si>
  <si>
    <t>H2_Cullis_DS</t>
  </si>
  <si>
    <t>Diatraea_SAM_1</t>
  </si>
  <si>
    <t>Diatraea_SAM_10</t>
  </si>
  <si>
    <t>Diatraea_SAM_11</t>
  </si>
  <si>
    <t>Diatraea_SAM_12</t>
  </si>
  <si>
    <t>Diatraea_SAM_13</t>
  </si>
  <si>
    <t>Diatraea_SAM_14</t>
  </si>
  <si>
    <t>Diatraea_SAM_15</t>
  </si>
  <si>
    <t>Diatraea_SAM_15b</t>
  </si>
  <si>
    <t>Diatraea_SAM_16</t>
  </si>
  <si>
    <t>Diatraea_SAM_17</t>
  </si>
  <si>
    <t>Diatraea_SAM_18</t>
  </si>
  <si>
    <t>Diatraea_SAM_2</t>
  </si>
  <si>
    <t>Diatraea_SAM_24</t>
  </si>
  <si>
    <t>Diatraea_SAM_3</t>
  </si>
  <si>
    <t>Diatraea_SAM_4</t>
  </si>
  <si>
    <t>Diatraea_SAM_5</t>
  </si>
  <si>
    <t>Diatraea_SAM_6</t>
  </si>
  <si>
    <t>Diatraea_SAM_7</t>
  </si>
  <si>
    <t>Diatraea_SAM_8</t>
  </si>
  <si>
    <t>Diatraea_SAM_9</t>
  </si>
  <si>
    <t>Median</t>
  </si>
  <si>
    <t>Q1</t>
  </si>
  <si>
    <t>Q3</t>
  </si>
  <si>
    <t>IQR</t>
  </si>
  <si>
    <t>Mean</t>
  </si>
  <si>
    <t>SD</t>
  </si>
  <si>
    <t>Min</t>
  </si>
  <si>
    <t>Max</t>
  </si>
  <si>
    <t>DS Index</t>
  </si>
  <si>
    <t>BI</t>
  </si>
  <si>
    <t>SInd</t>
  </si>
  <si>
    <t>Statistic</t>
  </si>
  <si>
    <r>
      <t xml:space="preserve">Table 2. </t>
    </r>
    <r>
      <rPr>
        <sz val="12"/>
        <color rgb="FF000000"/>
        <rFont val="Times New Roman"/>
        <family val="1"/>
      </rPr>
      <t>Broad sense</t>
    </r>
    <r>
      <rPr>
        <b/>
        <sz val="12"/>
        <color rgb="FF000000"/>
        <rFont val="Times New Roman"/>
        <family val="1"/>
      </rPr>
      <t xml:space="preserve"> </t>
    </r>
    <r>
      <rPr>
        <sz val="12"/>
        <color rgb="FF000000"/>
        <rFont val="Times New Roman"/>
        <family val="1"/>
      </rPr>
      <t>heritability estimates for the composite Damage Survival Index (DS Index), proportion of bored internodes (BI), and proportion of insect survival (SInd). Estimates were obtained separately within each evaluation and summarized using the median, first and third quartiles (Q1 and Q3), mean, standard deviation (SD), minimum, and maximum.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</si>
</sst>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2"/>
      <color rgb="FF000000"/>
      <name val="Times New Roman"/>
      <family val="1"/>
    </font>
    <font>
      <sz val="12"/>
      <color rgb="FF00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2" fontId="0" fillId="0" borderId="0" xfId="0" applyNumberFormat="1" applyAlignment="1">
      <alignment horizontal="center"/>
    </xf>
    <xf numFmtId="2" fontId="0" fillId="0" borderId="0" xfId="0" applyNumberFormat="1"/>
    <xf numFmtId="0" fontId="1" fillId="0" borderId="0" xfId="0" applyFont="1"/>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55F4C-E8E3-4485-9BDD-BD5F672391C5}">
  <dimension ref="A1:E21"/>
  <sheetViews>
    <sheetView workbookViewId="0">
      <selection activeCell="H3" sqref="H3:K11"/>
    </sheetView>
  </sheetViews>
  <sheetFormatPr baseColWidth="10" defaultRowHeight="14.4" x14ac:dyDescent="0.3"/>
  <cols>
    <col min="1" max="1" width="16.109375" bestFit="1" customWidth="1"/>
    <col min="2" max="2" width="11.33203125" bestFit="1" customWidth="1"/>
  </cols>
  <sheetData>
    <row r="1" spans="1:5" x14ac:dyDescent="0.3">
      <c r="A1" t="s">
        <v>0</v>
      </c>
      <c r="B1" t="s">
        <v>1</v>
      </c>
      <c r="C1" t="s">
        <v>4</v>
      </c>
      <c r="D1" t="s">
        <v>2</v>
      </c>
      <c r="E1" t="s">
        <v>3</v>
      </c>
    </row>
    <row r="2" spans="1:5" x14ac:dyDescent="0.3">
      <c r="A2" t="s">
        <v>5</v>
      </c>
      <c r="B2">
        <v>5</v>
      </c>
      <c r="C2" s="1">
        <v>0.21808738295389299</v>
      </c>
      <c r="D2" s="2">
        <v>0.52655432966166105</v>
      </c>
      <c r="E2" s="2">
        <v>0.226050743443313</v>
      </c>
    </row>
    <row r="3" spans="1:5" x14ac:dyDescent="0.3">
      <c r="A3" t="s">
        <v>6</v>
      </c>
      <c r="B3">
        <v>16</v>
      </c>
      <c r="C3" s="1">
        <v>0.92448903032145902</v>
      </c>
      <c r="D3" s="2">
        <v>0.73982695373605101</v>
      </c>
      <c r="E3" s="2">
        <v>0.81308131093720504</v>
      </c>
    </row>
    <row r="4" spans="1:5" x14ac:dyDescent="0.3">
      <c r="A4" t="s">
        <v>7</v>
      </c>
      <c r="B4">
        <v>16</v>
      </c>
      <c r="C4" s="1">
        <v>0.94124625568795905</v>
      </c>
      <c r="D4" s="2">
        <v>0.83951161121351203</v>
      </c>
      <c r="E4" s="2">
        <v>0.88723626333863304</v>
      </c>
    </row>
    <row r="5" spans="1:5" x14ac:dyDescent="0.3">
      <c r="A5" t="s">
        <v>8</v>
      </c>
      <c r="B5">
        <v>16</v>
      </c>
      <c r="C5" s="1">
        <v>0.89497375222828601</v>
      </c>
      <c r="D5" s="2">
        <v>0.56490453904173898</v>
      </c>
      <c r="E5" s="2">
        <v>0.78206150758843496</v>
      </c>
    </row>
    <row r="6" spans="1:5" x14ac:dyDescent="0.3">
      <c r="A6" t="s">
        <v>9</v>
      </c>
      <c r="B6">
        <v>16</v>
      </c>
      <c r="C6" s="1">
        <v>0.89440839713669296</v>
      </c>
      <c r="D6" s="2">
        <v>0.57297089851190197</v>
      </c>
      <c r="E6" s="2">
        <v>0.76480054276895804</v>
      </c>
    </row>
    <row r="7" spans="1:5" x14ac:dyDescent="0.3">
      <c r="A7" t="s">
        <v>10</v>
      </c>
      <c r="B7">
        <v>16</v>
      </c>
      <c r="C7" s="1">
        <v>0.91754411848459105</v>
      </c>
      <c r="D7" s="2">
        <v>0.71464908441753305</v>
      </c>
      <c r="E7" s="2">
        <v>0.78446315276640599</v>
      </c>
    </row>
    <row r="8" spans="1:5" x14ac:dyDescent="0.3">
      <c r="A8" t="s">
        <v>11</v>
      </c>
      <c r="B8">
        <v>16</v>
      </c>
      <c r="C8" s="1">
        <v>0.92464414926131</v>
      </c>
      <c r="D8" s="2">
        <v>0.78113911498241895</v>
      </c>
      <c r="E8" s="2">
        <v>0.78947155383983803</v>
      </c>
    </row>
    <row r="9" spans="1:5" x14ac:dyDescent="0.3">
      <c r="A9" t="s">
        <v>12</v>
      </c>
      <c r="B9">
        <v>15</v>
      </c>
      <c r="C9" s="1">
        <v>0.90752464772867503</v>
      </c>
      <c r="D9" s="2">
        <v>0.63655728550878798</v>
      </c>
      <c r="E9" s="2">
        <v>0.82840576243534503</v>
      </c>
    </row>
    <row r="10" spans="1:5" x14ac:dyDescent="0.3">
      <c r="A10" t="s">
        <v>13</v>
      </c>
      <c r="B10">
        <v>16</v>
      </c>
      <c r="C10" s="1">
        <v>0.93075791679270903</v>
      </c>
      <c r="D10" s="2">
        <v>0.78764375605803905</v>
      </c>
      <c r="E10" s="2">
        <v>0.82955998982426105</v>
      </c>
    </row>
    <row r="11" spans="1:5" x14ac:dyDescent="0.3">
      <c r="A11" t="s">
        <v>14</v>
      </c>
      <c r="B11">
        <v>16</v>
      </c>
      <c r="C11" s="1">
        <v>0.85496203381528602</v>
      </c>
      <c r="D11" s="2">
        <v>0.44795138209527402</v>
      </c>
      <c r="E11" s="2">
        <v>0.76008504387433795</v>
      </c>
    </row>
    <row r="12" spans="1:5" x14ac:dyDescent="0.3">
      <c r="A12" t="s">
        <v>15</v>
      </c>
      <c r="B12">
        <v>16</v>
      </c>
      <c r="C12" s="1">
        <v>0.867202721171491</v>
      </c>
      <c r="D12" s="2">
        <v>0.43654985221645298</v>
      </c>
      <c r="E12" s="2">
        <v>0.75300757580913802</v>
      </c>
    </row>
    <row r="13" spans="1:5" x14ac:dyDescent="0.3">
      <c r="A13" t="s">
        <v>16</v>
      </c>
      <c r="B13">
        <v>10</v>
      </c>
      <c r="C13" s="1">
        <v>0.91320889322802101</v>
      </c>
      <c r="D13" s="2">
        <v>0.826629716575215</v>
      </c>
      <c r="E13" s="2">
        <v>0.94601890985307402</v>
      </c>
    </row>
    <row r="14" spans="1:5" x14ac:dyDescent="0.3">
      <c r="A14" t="s">
        <v>17</v>
      </c>
      <c r="B14">
        <v>9</v>
      </c>
      <c r="C14" s="1">
        <v>0.73653233099952198</v>
      </c>
      <c r="D14" s="2">
        <v>0.137059537688345</v>
      </c>
      <c r="E14" s="2">
        <v>0.57953916282831797</v>
      </c>
    </row>
    <row r="15" spans="1:5" x14ac:dyDescent="0.3">
      <c r="A15" t="s">
        <v>18</v>
      </c>
      <c r="B15">
        <v>16</v>
      </c>
      <c r="C15" s="1">
        <v>0.77617629578608005</v>
      </c>
      <c r="D15" s="2">
        <v>0.39634002646024802</v>
      </c>
      <c r="E15" s="2">
        <v>0.68066171727396196</v>
      </c>
    </row>
    <row r="16" spans="1:5" x14ac:dyDescent="0.3">
      <c r="A16" t="s">
        <v>19</v>
      </c>
      <c r="B16">
        <v>16</v>
      </c>
      <c r="C16" s="1">
        <v>0.86661274201417904</v>
      </c>
      <c r="D16" s="2">
        <v>0.56104840987985005</v>
      </c>
      <c r="E16" s="2">
        <v>0.832342336630991</v>
      </c>
    </row>
    <row r="17" spans="1:5" x14ac:dyDescent="0.3">
      <c r="A17" t="s">
        <v>20</v>
      </c>
      <c r="B17">
        <v>16</v>
      </c>
      <c r="C17" s="1">
        <v>0.82658317031560702</v>
      </c>
      <c r="D17" s="2">
        <v>0.28923341647369399</v>
      </c>
      <c r="E17" s="2">
        <v>0.73354269832352204</v>
      </c>
    </row>
    <row r="18" spans="1:5" x14ac:dyDescent="0.3">
      <c r="A18" t="s">
        <v>21</v>
      </c>
      <c r="B18">
        <v>16</v>
      </c>
      <c r="C18" s="1">
        <v>0.89922405339591405</v>
      </c>
      <c r="D18" s="2">
        <v>0.54580856062341199</v>
      </c>
      <c r="E18" s="2">
        <v>0.81992614505947103</v>
      </c>
    </row>
    <row r="19" spans="1:5" x14ac:dyDescent="0.3">
      <c r="A19" t="s">
        <v>22</v>
      </c>
      <c r="B19">
        <v>16</v>
      </c>
      <c r="C19" s="1">
        <v>0.89008323789375798</v>
      </c>
      <c r="D19" s="2">
        <v>0.58144444899054404</v>
      </c>
      <c r="E19" s="2">
        <v>0.75759482766666397</v>
      </c>
    </row>
    <row r="20" spans="1:5" x14ac:dyDescent="0.3">
      <c r="A20" t="s">
        <v>23</v>
      </c>
      <c r="B20">
        <v>16</v>
      </c>
      <c r="C20" s="1">
        <v>0.86825039118899905</v>
      </c>
      <c r="D20" s="2">
        <v>0.54307060707348498</v>
      </c>
      <c r="E20" s="2">
        <v>0.62883338724007198</v>
      </c>
    </row>
    <row r="21" spans="1:5" x14ac:dyDescent="0.3">
      <c r="A21" t="s">
        <v>24</v>
      </c>
      <c r="B21">
        <v>16</v>
      </c>
      <c r="C21" s="1">
        <v>0.93259193748208302</v>
      </c>
      <c r="D21" s="2">
        <v>0.80712395035942497</v>
      </c>
      <c r="E21" s="2">
        <v>0.81010578029411995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51B27-4E4C-46BF-868B-E8298D1FAAD9}">
  <dimension ref="A1:D11"/>
  <sheetViews>
    <sheetView tabSelected="1" workbookViewId="0">
      <selection activeCell="F10" sqref="F10"/>
    </sheetView>
  </sheetViews>
  <sheetFormatPr baseColWidth="10" defaultRowHeight="14.4" x14ac:dyDescent="0.3"/>
  <sheetData>
    <row r="1" spans="1:4" ht="15.6" x14ac:dyDescent="0.3">
      <c r="A1" s="4" t="s">
        <v>37</v>
      </c>
    </row>
    <row r="3" spans="1:4" x14ac:dyDescent="0.3">
      <c r="A3" s="3" t="s">
        <v>36</v>
      </c>
      <c r="B3" s="3" t="s">
        <v>33</v>
      </c>
      <c r="C3" s="3" t="s">
        <v>34</v>
      </c>
      <c r="D3" s="3" t="s">
        <v>35</v>
      </c>
    </row>
    <row r="4" spans="1:4" x14ac:dyDescent="0.3">
      <c r="A4" t="s">
        <v>25</v>
      </c>
      <c r="B4" s="2">
        <f>+MEDIAN(Heritability!C2:C21)</f>
        <v>0.89469107468248943</v>
      </c>
      <c r="C4" s="2">
        <f>+MEDIAN(Heritability!D2:D21)</f>
        <v>0.56893771877682053</v>
      </c>
      <c r="D4" s="2">
        <f>+MEDIAN(Heritability!E2:E21)</f>
        <v>0.78326233017742042</v>
      </c>
    </row>
    <row r="5" spans="1:4" x14ac:dyDescent="0.3">
      <c r="A5" t="s">
        <v>26</v>
      </c>
      <c r="B5" s="2">
        <f>+_xlfn.QUARTILE.INC(Heritability!C2:C21,1)</f>
        <v>0.86370006496445573</v>
      </c>
      <c r="C5" s="2">
        <f>+_xlfn.QUARTILE.INC(Heritability!D2:D21,1)</f>
        <v>0.50690359277006425</v>
      </c>
      <c r="D5" s="2">
        <f>+_xlfn.QUARTILE.INC(Heritability!E2:E21,1)</f>
        <v>0.74814135643773405</v>
      </c>
    </row>
    <row r="6" spans="1:4" x14ac:dyDescent="0.3">
      <c r="A6" t="s">
        <v>27</v>
      </c>
      <c r="B6" s="2">
        <f>+_xlfn.QUARTILE.INC(Heritability!C2:C21,3)</f>
        <v>0.91928034644380807</v>
      </c>
      <c r="C6" s="2">
        <f>+_xlfn.QUARTILE.INC(Heritability!D2:D21,3)</f>
        <v>0.75015499404764296</v>
      </c>
      <c r="D6" s="2">
        <f>+_xlfn.QUARTILE.INC(Heritability!E2:E21,3)</f>
        <v>0.8220460494034395</v>
      </c>
    </row>
    <row r="7" spans="1:4" x14ac:dyDescent="0.3">
      <c r="A7" t="s">
        <v>28</v>
      </c>
      <c r="B7" s="2">
        <f>+B6-B5</f>
        <v>5.5580281479352345E-2</v>
      </c>
      <c r="C7" s="2">
        <f>+C6-C5</f>
        <v>0.24325140127757872</v>
      </c>
      <c r="D7" s="2">
        <f>+D6-D5</f>
        <v>7.3904692965705454E-2</v>
      </c>
    </row>
    <row r="8" spans="1:4" x14ac:dyDescent="0.3">
      <c r="A8" t="s">
        <v>29</v>
      </c>
      <c r="B8" s="2">
        <f>+AVERAGE(Heritability!C2:C21)</f>
        <v>0.84925517289432562</v>
      </c>
      <c r="C8" s="2">
        <f>+AVERAGE(Heritability!D2:D21)</f>
        <v>0.58680087407837944</v>
      </c>
      <c r="D8" s="2">
        <f>+AVERAGE(Heritability!E2:E21)</f>
        <v>0.75033942058980307</v>
      </c>
    </row>
    <row r="9" spans="1:4" x14ac:dyDescent="0.3">
      <c r="A9" t="s">
        <v>30</v>
      </c>
      <c r="B9" s="2">
        <f>+_xlfn.STDEV.S(Heritability!C2:C21)</f>
        <v>0.15757802788415065</v>
      </c>
      <c r="C9" s="2">
        <f>+_xlfn.STDEV.S(Heritability!D2:D21)</f>
        <v>0.18747552925722538</v>
      </c>
      <c r="D9" s="2">
        <f>+_xlfn.STDEV.S(Heritability!E2:E21)</f>
        <v>0.14805669109290734</v>
      </c>
    </row>
    <row r="10" spans="1:4" x14ac:dyDescent="0.3">
      <c r="A10" t="s">
        <v>31</v>
      </c>
      <c r="B10" s="2">
        <f>+MIN(Heritability!C2:C21)</f>
        <v>0.21808738295389299</v>
      </c>
      <c r="C10" s="2">
        <f>+MIN(Heritability!D2:D21)</f>
        <v>0.137059537688345</v>
      </c>
      <c r="D10" s="2">
        <f>+MIN(Heritability!E2:E21)</f>
        <v>0.226050743443313</v>
      </c>
    </row>
    <row r="11" spans="1:4" x14ac:dyDescent="0.3">
      <c r="A11" t="s">
        <v>32</v>
      </c>
      <c r="B11" s="2">
        <f>++MAX(Heritability!C2:C21)</f>
        <v>0.94124625568795905</v>
      </c>
      <c r="C11" s="2">
        <f>++MAX(Heritability!D2:D21)</f>
        <v>0.83951161121351203</v>
      </c>
      <c r="D11" s="2">
        <f>++MAX(Heritability!E2:E21)</f>
        <v>0.94601890985307402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Heritability</vt:lpstr>
      <vt:lpstr>Summary</vt:lpstr>
      <vt:lpstr>Summary!_Ref235542239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Silva Aguilar</dc:creator>
  <cp:lastModifiedBy>Fernando Silva Aguilar</cp:lastModifiedBy>
  <dcterms:created xsi:type="dcterms:W3CDTF">2026-07-21T20:33:55Z</dcterms:created>
  <dcterms:modified xsi:type="dcterms:W3CDTF">2026-07-22T11:55:36Z</dcterms:modified>
</cp:coreProperties>
</file>